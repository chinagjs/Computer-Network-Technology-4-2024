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E:\2026\教学\4班\"/>
    </mc:Choice>
  </mc:AlternateContent>
  <xr:revisionPtr revIDLastSave="0" documentId="13_ncr:1_{DAF6C317-1DC3-47BA-8537-F201893B3BC5}" xr6:coauthVersionLast="45" xr6:coauthVersionMax="45" xr10:uidLastSave="{00000000-0000-0000-0000-000000000000}"/>
  <bookViews>
    <workbookView xWindow="-120" yWindow="-120" windowWidth="29040" windowHeight="15840" activeTab="3" xr2:uid="{00000000-000D-0000-FFFF-FFFF00000000}"/>
  </bookViews>
  <sheets>
    <sheet name="考勤" sheetId="3" r:id="rId1"/>
    <sheet name="上机" sheetId="6" r:id="rId2"/>
    <sheet name="联系辅导员" sheetId="7" r:id="rId3"/>
    <sheet name="打扫卫生" sheetId="4" r:id="rId4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M59" i="3" l="1"/>
  <c r="BL59" i="3"/>
  <c r="BK59" i="3"/>
  <c r="BJ59" i="3"/>
  <c r="BI59" i="3"/>
  <c r="BH59" i="3"/>
  <c r="BG59" i="3"/>
  <c r="BF59" i="3"/>
  <c r="BE59" i="3"/>
  <c r="BD59" i="3"/>
  <c r="BC59" i="3"/>
  <c r="BB59" i="3"/>
  <c r="BA59" i="3"/>
  <c r="AZ59" i="3"/>
  <c r="AY59" i="3"/>
  <c r="AX59" i="3"/>
  <c r="AW59" i="3"/>
  <c r="AV59" i="3"/>
  <c r="AU59" i="3"/>
  <c r="AT59" i="3"/>
  <c r="AS59" i="3"/>
  <c r="AR59" i="3"/>
  <c r="AQ59" i="3"/>
  <c r="AP59" i="3"/>
  <c r="AO59" i="3"/>
  <c r="AN59" i="3"/>
  <c r="AM59" i="3"/>
  <c r="AL59" i="3"/>
  <c r="AK59" i="3"/>
  <c r="AJ59" i="3"/>
  <c r="AI59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</calcChain>
</file>

<file path=xl/sharedStrings.xml><?xml version="1.0" encoding="utf-8"?>
<sst xmlns="http://schemas.openxmlformats.org/spreadsheetml/2006/main" count="798" uniqueCount="78">
  <si>
    <t>学号</t>
  </si>
  <si>
    <t>姓名</t>
  </si>
  <si>
    <t>成绩</t>
  </si>
  <si>
    <t>3.06理论</t>
  </si>
  <si>
    <t>3.07理论</t>
  </si>
  <si>
    <t>3.09理论</t>
  </si>
  <si>
    <t>3.13理论</t>
  </si>
  <si>
    <t>3.16理论</t>
  </si>
  <si>
    <t>3.20理论</t>
  </si>
  <si>
    <t>3.23理论</t>
  </si>
  <si>
    <t>3.27理论</t>
  </si>
  <si>
    <r>
      <rPr>
        <sz val="11"/>
        <color theme="1"/>
        <rFont val="等线"/>
        <charset val="134"/>
        <scheme val="minor"/>
      </rPr>
      <t>3</t>
    </r>
    <r>
      <rPr>
        <sz val="11"/>
        <color theme="1"/>
        <rFont val="等线"/>
        <charset val="134"/>
        <scheme val="minor"/>
      </rPr>
      <t>.30上机</t>
    </r>
  </si>
  <si>
    <t>4.03理论</t>
  </si>
  <si>
    <t>4.10上机（1-2）</t>
  </si>
  <si>
    <t>4.11上机（5-6）</t>
  </si>
  <si>
    <t>黄泽屿</t>
  </si>
  <si>
    <t>×</t>
  </si>
  <si>
    <t>√</t>
  </si>
  <si>
    <t>柳世康</t>
  </si>
  <si>
    <t>许文峥</t>
  </si>
  <si>
    <t>何明瀚</t>
  </si>
  <si>
    <t>王鹏超</t>
  </si>
  <si>
    <t>曹勇超</t>
  </si>
  <si>
    <t>陈凯文</t>
  </si>
  <si>
    <t>刘博文</t>
  </si>
  <si>
    <t>赵一鸣</t>
  </si>
  <si>
    <t>李明赫</t>
  </si>
  <si>
    <t>范成鑫</t>
  </si>
  <si>
    <t>王元铎</t>
  </si>
  <si>
    <t>王鑫</t>
  </si>
  <si>
    <t>张岳阳</t>
  </si>
  <si>
    <t>曹国良</t>
  </si>
  <si>
    <t>臧晓雨</t>
  </si>
  <si>
    <t>石凤菲</t>
  </si>
  <si>
    <t>彭轩</t>
  </si>
  <si>
    <t>陈思嘉</t>
  </si>
  <si>
    <t>李星宇</t>
  </si>
  <si>
    <t>朱涵宇</t>
  </si>
  <si>
    <t>王文豪</t>
  </si>
  <si>
    <t>李士臻</t>
  </si>
  <si>
    <t>吴志超</t>
  </si>
  <si>
    <t>郭庆博</t>
  </si>
  <si>
    <t>王昊阳</t>
  </si>
  <si>
    <t>王保亓</t>
  </si>
  <si>
    <t>赵鑫泽</t>
  </si>
  <si>
    <t>李博闻</t>
  </si>
  <si>
    <t>吕孟德</t>
  </si>
  <si>
    <t>陈展鹏</t>
  </si>
  <si>
    <t>刘姝杞</t>
  </si>
  <si>
    <t>葛名正</t>
  </si>
  <si>
    <t>陈卓林</t>
  </si>
  <si>
    <t>李庆嘉</t>
  </si>
  <si>
    <t>刘晓钊</t>
  </si>
  <si>
    <t>刘瑞宝</t>
  </si>
  <si>
    <t>李欣悦</t>
  </si>
  <si>
    <t>许城瑞</t>
  </si>
  <si>
    <t>刘志祥</t>
  </si>
  <si>
    <t>张育硕</t>
  </si>
  <si>
    <t>李庆琳</t>
  </si>
  <si>
    <t>杨玉福</t>
  </si>
  <si>
    <t>周宇涵</t>
  </si>
  <si>
    <t>张浩男</t>
  </si>
  <si>
    <t>尚振稳</t>
  </si>
  <si>
    <t>王国建</t>
  </si>
  <si>
    <t>姜岸君</t>
  </si>
  <si>
    <t>张维宇</t>
  </si>
  <si>
    <t>杨雨晴</t>
  </si>
  <si>
    <t>李锦程</t>
  </si>
  <si>
    <t>王浩宇</t>
  </si>
  <si>
    <t>周冠辰</t>
  </si>
  <si>
    <t>宋志佳</t>
  </si>
  <si>
    <t>李家成</t>
  </si>
  <si>
    <t>√、正常、△、迟到、○早退、×缺勤</t>
  </si>
  <si>
    <t>2026-03-20 15：35分，联系24计网4班辅导员王广涛18854112161，电话未接；
                     15.36分，联系B角辅导员李枚15958099658，说王辅导员值大夜，不方便接电话。她            不负责这个班级。
                    16：40回电话，答应相互加QQ，传送考勤记录</t>
  </si>
  <si>
    <t>3.30号</t>
  </si>
  <si>
    <t>4.10</t>
  </si>
  <si>
    <t>4.13上机</t>
    <phoneticPr fontId="14" type="noConversion"/>
  </si>
  <si>
    <r>
      <t>4</t>
    </r>
    <r>
      <rPr>
        <sz val="11"/>
        <color theme="1"/>
        <rFont val="等线"/>
        <family val="3"/>
        <charset val="134"/>
        <scheme val="minor"/>
      </rPr>
      <t>.13</t>
    </r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</si>
</sst>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0.5"/>
      <color rgb="FF000000"/>
      <name val="宋体"/>
      <charset val="134"/>
    </font>
    <font>
      <sz val="9"/>
      <color theme="9"/>
      <name val="Arial"/>
      <family val="2"/>
    </font>
    <font>
      <sz val="9"/>
      <color rgb="FFFF0000"/>
      <name val="Arial"/>
      <family val="2"/>
    </font>
    <font>
      <sz val="9"/>
      <color rgb="FF00B050"/>
      <name val="Arial"/>
      <family val="2"/>
    </font>
    <font>
      <sz val="9"/>
      <color theme="1"/>
      <name val="Arial"/>
      <family val="2"/>
    </font>
    <font>
      <sz val="9"/>
      <color rgb="FF333333"/>
      <name val="Arial"/>
      <family val="2"/>
    </font>
    <font>
      <sz val="9"/>
      <color theme="6" tint="0.39948728904080327"/>
      <name val="Arial"/>
      <family val="2"/>
    </font>
    <font>
      <sz val="11"/>
      <color theme="6" tint="0.39948728904080327"/>
      <name val="等线"/>
      <charset val="134"/>
      <scheme val="minor"/>
    </font>
    <font>
      <sz val="10.5"/>
      <color rgb="FF000000"/>
      <name val="Times New Roman"/>
      <family val="1"/>
    </font>
    <font>
      <sz val="10.5"/>
      <color theme="9"/>
      <name val="宋体"/>
      <charset val="134"/>
    </font>
    <font>
      <sz val="24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.5"/>
      <color theme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5F5F5"/>
        <bgColor indexed="64"/>
      </patternFill>
    </fill>
  </fills>
  <borders count="7">
    <border>
      <left/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/>
      <top/>
      <bottom/>
      <diagonal/>
    </border>
    <border>
      <left style="medium">
        <color rgb="FFDDDDDD"/>
      </left>
      <right style="medium">
        <color rgb="FFDDDDDD"/>
      </right>
      <top/>
      <bottom style="thick">
        <color rgb="FFDDDDDD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49" fontId="0" fillId="0" borderId="0" xfId="0" applyNumberFormat="1"/>
    <xf numFmtId="0" fontId="1" fillId="0" borderId="0" xfId="0" applyFont="1"/>
    <xf numFmtId="0" fontId="2" fillId="2" borderId="1" xfId="0" applyFont="1" applyFill="1" applyBorder="1" applyAlignment="1">
      <alignment horizontal="justify" vertical="center" wrapText="1"/>
    </xf>
    <xf numFmtId="0" fontId="3" fillId="2" borderId="2" xfId="0" applyFont="1" applyFill="1" applyBorder="1" applyAlignment="1">
      <alignment horizontal="left" vertical="top"/>
    </xf>
    <xf numFmtId="0" fontId="3" fillId="3" borderId="2" xfId="0" applyFont="1" applyFill="1" applyBorder="1" applyAlignment="1">
      <alignment horizontal="left" vertical="top"/>
    </xf>
    <xf numFmtId="0" fontId="4" fillId="2" borderId="2" xfId="0" applyFont="1" applyFill="1" applyBorder="1" applyAlignment="1">
      <alignment horizontal="left" vertical="top"/>
    </xf>
    <xf numFmtId="0" fontId="5" fillId="2" borderId="2" xfId="0" applyFont="1" applyFill="1" applyBorder="1" applyAlignment="1">
      <alignment horizontal="left" vertical="top"/>
    </xf>
    <xf numFmtId="0" fontId="6" fillId="3" borderId="2" xfId="0" applyFont="1" applyFill="1" applyBorder="1" applyAlignment="1">
      <alignment horizontal="left" vertical="top"/>
    </xf>
    <xf numFmtId="0" fontId="4" fillId="3" borderId="2" xfId="0" applyFont="1" applyFill="1" applyBorder="1" applyAlignment="1">
      <alignment horizontal="left" vertical="top"/>
    </xf>
    <xf numFmtId="0" fontId="5" fillId="3" borderId="2" xfId="0" applyFont="1" applyFill="1" applyBorder="1" applyAlignment="1">
      <alignment horizontal="left" vertical="top"/>
    </xf>
    <xf numFmtId="0" fontId="7" fillId="2" borderId="2" xfId="0" applyFont="1" applyFill="1" applyBorder="1" applyAlignment="1">
      <alignment horizontal="left" vertical="top"/>
    </xf>
    <xf numFmtId="0" fontId="7" fillId="3" borderId="2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8" fillId="4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9" fillId="0" borderId="0" xfId="0" applyFont="1"/>
    <xf numFmtId="0" fontId="0" fillId="0" borderId="0" xfId="0" applyFont="1"/>
    <xf numFmtId="0" fontId="10" fillId="0" borderId="1" xfId="0" applyFont="1" applyBorder="1" applyAlignment="1">
      <alignment horizontal="left" vertical="center" wrapText="1"/>
    </xf>
    <xf numFmtId="0" fontId="11" fillId="2" borderId="1" xfId="0" applyFont="1" applyFill="1" applyBorder="1" applyAlignment="1">
      <alignment horizontal="justify" vertical="center" wrapText="1"/>
    </xf>
    <xf numFmtId="0" fontId="10" fillId="0" borderId="1" xfId="0" applyFont="1" applyBorder="1" applyAlignment="1">
      <alignment horizontal="justify" vertical="center" wrapText="1"/>
    </xf>
    <xf numFmtId="0" fontId="10" fillId="0" borderId="6" xfId="0" applyFont="1" applyBorder="1" applyAlignment="1">
      <alignment horizontal="left" vertical="center" wrapText="1"/>
    </xf>
    <xf numFmtId="0" fontId="2" fillId="2" borderId="6" xfId="0" applyFont="1" applyFill="1" applyBorder="1" applyAlignment="1">
      <alignment horizontal="justify" vertical="center" wrapText="1"/>
    </xf>
    <xf numFmtId="0" fontId="13" fillId="0" borderId="0" xfId="0" applyFont="1"/>
    <xf numFmtId="49" fontId="13" fillId="0" borderId="0" xfId="0" applyNumberFormat="1" applyFont="1"/>
    <xf numFmtId="0" fontId="12" fillId="0" borderId="0" xfId="0" applyFont="1" applyAlignment="1"/>
    <xf numFmtId="0" fontId="0" fillId="0" borderId="0" xfId="0" applyAlignment="1"/>
    <xf numFmtId="0" fontId="7" fillId="2" borderId="3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Font="1" applyAlignment="1"/>
    <xf numFmtId="49" fontId="15" fillId="0" borderId="0" xfId="0" applyNumberFormat="1" applyFont="1"/>
    <xf numFmtId="0" fontId="16" fillId="2" borderId="1" xfId="0" applyFont="1" applyFill="1" applyBorder="1" applyAlignment="1">
      <alignment horizontal="justify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61"/>
  <sheetViews>
    <sheetView zoomScale="175" zoomScaleNormal="175" workbookViewId="0">
      <pane xSplit="3" topLeftCell="J1" activePane="topRight" state="frozen"/>
      <selection pane="topRight" activeCell="B11" sqref="B11"/>
    </sheetView>
  </sheetViews>
  <sheetFormatPr defaultColWidth="9" defaultRowHeight="14.25" x14ac:dyDescent="0.2"/>
  <cols>
    <col min="1" max="1" width="11.75" customWidth="1"/>
    <col min="2" max="2" width="19" customWidth="1"/>
  </cols>
  <sheetData>
    <row r="1" spans="1:34" x14ac:dyDescent="0.2">
      <c r="A1" s="27" t="s">
        <v>0</v>
      </c>
      <c r="B1" s="27" t="s">
        <v>1</v>
      </c>
      <c r="C1" s="29" t="s">
        <v>2</v>
      </c>
    </row>
    <row r="2" spans="1:34" x14ac:dyDescent="0.2">
      <c r="A2" s="28"/>
      <c r="B2" s="28"/>
      <c r="C2" s="29"/>
      <c r="D2" s="17" t="s">
        <v>3</v>
      </c>
      <c r="E2" s="17" t="s">
        <v>4</v>
      </c>
      <c r="F2" s="17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s="17" t="s">
        <v>11</v>
      </c>
      <c r="M2" t="s">
        <v>12</v>
      </c>
      <c r="N2" s="23" t="s">
        <v>13</v>
      </c>
      <c r="O2" s="24" t="s">
        <v>14</v>
      </c>
      <c r="P2" s="17" t="s">
        <v>76</v>
      </c>
      <c r="AF2" s="17"/>
      <c r="AH2" s="17"/>
    </row>
    <row r="3" spans="1:34" x14ac:dyDescent="0.2">
      <c r="A3" s="18">
        <v>2452020847</v>
      </c>
      <c r="B3" s="19" t="s">
        <v>15</v>
      </c>
      <c r="C3">
        <f>100-COUNTIF(D3:AZ3,"×")*3</f>
        <v>82</v>
      </c>
      <c r="D3" t="s">
        <v>16</v>
      </c>
      <c r="E3" t="s">
        <v>16</v>
      </c>
      <c r="F3" t="s">
        <v>16</v>
      </c>
      <c r="G3" t="s">
        <v>17</v>
      </c>
      <c r="H3" t="s">
        <v>16</v>
      </c>
      <c r="I3" t="s">
        <v>17</v>
      </c>
      <c r="J3" t="s">
        <v>17</v>
      </c>
      <c r="K3" t="s">
        <v>17</v>
      </c>
      <c r="L3" t="s">
        <v>17</v>
      </c>
      <c r="M3" t="s">
        <v>16</v>
      </c>
      <c r="N3" t="s">
        <v>16</v>
      </c>
      <c r="O3" t="s">
        <v>17</v>
      </c>
      <c r="P3" t="s">
        <v>17</v>
      </c>
    </row>
    <row r="4" spans="1:34" x14ac:dyDescent="0.2">
      <c r="A4" s="20">
        <v>2452020850</v>
      </c>
      <c r="B4" s="19" t="s">
        <v>18</v>
      </c>
      <c r="C4">
        <f t="shared" ref="C4:C57" si="0">100-COUNTIF(D4:AZ4,"×")*3</f>
        <v>88</v>
      </c>
      <c r="D4" t="s">
        <v>17</v>
      </c>
      <c r="E4" t="s">
        <v>16</v>
      </c>
      <c r="F4" t="s">
        <v>17</v>
      </c>
      <c r="G4" t="s">
        <v>17</v>
      </c>
      <c r="H4" t="s">
        <v>17</v>
      </c>
      <c r="I4" t="s">
        <v>17</v>
      </c>
      <c r="J4" t="s">
        <v>16</v>
      </c>
      <c r="K4" t="s">
        <v>17</v>
      </c>
      <c r="L4" t="s">
        <v>17</v>
      </c>
      <c r="M4" t="s">
        <v>16</v>
      </c>
      <c r="N4" t="s">
        <v>16</v>
      </c>
      <c r="O4" t="s">
        <v>17</v>
      </c>
      <c r="P4" t="s">
        <v>17</v>
      </c>
    </row>
    <row r="5" spans="1:34" x14ac:dyDescent="0.2">
      <c r="A5" s="20">
        <v>2452020851</v>
      </c>
      <c r="B5" s="34" t="s">
        <v>19</v>
      </c>
      <c r="C5">
        <f t="shared" si="0"/>
        <v>85</v>
      </c>
      <c r="D5" t="s">
        <v>17</v>
      </c>
      <c r="E5" t="s">
        <v>16</v>
      </c>
      <c r="F5" t="s">
        <v>17</v>
      </c>
      <c r="G5" t="s">
        <v>17</v>
      </c>
      <c r="H5" t="s">
        <v>17</v>
      </c>
      <c r="I5" t="s">
        <v>17</v>
      </c>
      <c r="J5" t="s">
        <v>16</v>
      </c>
      <c r="K5" t="s">
        <v>17</v>
      </c>
      <c r="L5" t="s">
        <v>16</v>
      </c>
      <c r="M5" t="s">
        <v>16</v>
      </c>
      <c r="N5" t="s">
        <v>16</v>
      </c>
      <c r="O5" t="s">
        <v>17</v>
      </c>
      <c r="P5" t="s">
        <v>17</v>
      </c>
    </row>
    <row r="6" spans="1:34" x14ac:dyDescent="0.2">
      <c r="A6" s="20">
        <v>2452020852</v>
      </c>
      <c r="B6" s="19" t="s">
        <v>20</v>
      </c>
      <c r="C6">
        <f t="shared" si="0"/>
        <v>82</v>
      </c>
      <c r="D6" t="s">
        <v>17</v>
      </c>
      <c r="E6" t="s">
        <v>16</v>
      </c>
      <c r="F6" t="s">
        <v>17</v>
      </c>
      <c r="G6" t="s">
        <v>17</v>
      </c>
      <c r="H6" t="s">
        <v>17</v>
      </c>
      <c r="I6" t="s">
        <v>17</v>
      </c>
      <c r="J6" t="s">
        <v>16</v>
      </c>
      <c r="K6" t="s">
        <v>16</v>
      </c>
      <c r="L6" t="s">
        <v>17</v>
      </c>
      <c r="M6" t="s">
        <v>16</v>
      </c>
      <c r="N6" t="s">
        <v>16</v>
      </c>
      <c r="O6" t="s">
        <v>16</v>
      </c>
      <c r="P6" t="s">
        <v>17</v>
      </c>
      <c r="Y6" s="17"/>
    </row>
    <row r="7" spans="1:34" x14ac:dyDescent="0.2">
      <c r="A7" s="20">
        <v>2452020854</v>
      </c>
      <c r="B7" s="34" t="s">
        <v>21</v>
      </c>
      <c r="C7">
        <f t="shared" si="0"/>
        <v>88</v>
      </c>
      <c r="D7" t="s">
        <v>17</v>
      </c>
      <c r="E7" t="s">
        <v>16</v>
      </c>
      <c r="F7" t="s">
        <v>17</v>
      </c>
      <c r="G7" t="s">
        <v>16</v>
      </c>
      <c r="H7" t="s">
        <v>16</v>
      </c>
      <c r="I7" t="s">
        <v>17</v>
      </c>
      <c r="J7" t="s">
        <v>17</v>
      </c>
      <c r="K7" t="s">
        <v>17</v>
      </c>
      <c r="L7" t="s">
        <v>17</v>
      </c>
      <c r="M7" t="s">
        <v>16</v>
      </c>
      <c r="N7" t="s">
        <v>17</v>
      </c>
      <c r="O7" t="s">
        <v>17</v>
      </c>
      <c r="P7" t="s">
        <v>17</v>
      </c>
    </row>
    <row r="8" spans="1:34" x14ac:dyDescent="0.2">
      <c r="A8" s="20">
        <v>2452020855</v>
      </c>
      <c r="B8" s="3" t="s">
        <v>22</v>
      </c>
      <c r="C8">
        <f t="shared" si="0"/>
        <v>64</v>
      </c>
      <c r="D8" t="s">
        <v>16</v>
      </c>
      <c r="E8" t="s">
        <v>16</v>
      </c>
      <c r="F8" t="s">
        <v>16</v>
      </c>
      <c r="G8" t="s">
        <v>16</v>
      </c>
      <c r="H8" t="s">
        <v>16</v>
      </c>
      <c r="I8" t="s">
        <v>16</v>
      </c>
      <c r="J8" t="s">
        <v>16</v>
      </c>
      <c r="K8" t="s">
        <v>16</v>
      </c>
      <c r="L8" t="s">
        <v>16</v>
      </c>
      <c r="M8" t="s">
        <v>16</v>
      </c>
      <c r="N8" t="s">
        <v>17</v>
      </c>
      <c r="O8" t="s">
        <v>16</v>
      </c>
      <c r="P8" t="s">
        <v>16</v>
      </c>
    </row>
    <row r="9" spans="1:34" x14ac:dyDescent="0.2">
      <c r="A9" s="20">
        <v>2452020858</v>
      </c>
      <c r="B9" s="3" t="s">
        <v>23</v>
      </c>
      <c r="C9">
        <f t="shared" si="0"/>
        <v>88</v>
      </c>
      <c r="D9" t="s">
        <v>17</v>
      </c>
      <c r="E9" t="s">
        <v>16</v>
      </c>
      <c r="F9" t="s">
        <v>17</v>
      </c>
      <c r="G9" t="s">
        <v>16</v>
      </c>
      <c r="H9" t="s">
        <v>16</v>
      </c>
      <c r="I9" t="s">
        <v>17</v>
      </c>
      <c r="J9" t="s">
        <v>17</v>
      </c>
      <c r="K9" t="s">
        <v>17</v>
      </c>
      <c r="L9" t="s">
        <v>17</v>
      </c>
      <c r="M9" t="s">
        <v>16</v>
      </c>
      <c r="N9" t="s">
        <v>17</v>
      </c>
      <c r="O9" t="s">
        <v>17</v>
      </c>
      <c r="P9" t="s">
        <v>17</v>
      </c>
    </row>
    <row r="10" spans="1:34" x14ac:dyDescent="0.2">
      <c r="A10" s="20">
        <v>2452020859</v>
      </c>
      <c r="B10" s="3" t="s">
        <v>24</v>
      </c>
      <c r="C10">
        <f t="shared" si="0"/>
        <v>61</v>
      </c>
      <c r="D10" t="s">
        <v>16</v>
      </c>
      <c r="E10" t="s">
        <v>16</v>
      </c>
      <c r="F10" t="s">
        <v>16</v>
      </c>
      <c r="G10" t="s">
        <v>16</v>
      </c>
      <c r="H10" t="s">
        <v>16</v>
      </c>
      <c r="I10" t="s">
        <v>16</v>
      </c>
      <c r="J10" t="s">
        <v>16</v>
      </c>
      <c r="K10" t="s">
        <v>16</v>
      </c>
      <c r="L10" t="s">
        <v>16</v>
      </c>
      <c r="M10" t="s">
        <v>16</v>
      </c>
      <c r="N10" t="s">
        <v>16</v>
      </c>
      <c r="O10" t="s">
        <v>16</v>
      </c>
      <c r="P10" t="s">
        <v>16</v>
      </c>
    </row>
    <row r="11" spans="1:34" x14ac:dyDescent="0.2">
      <c r="A11" s="20">
        <v>2452020863</v>
      </c>
      <c r="B11" s="3" t="s">
        <v>25</v>
      </c>
      <c r="C11">
        <f t="shared" si="0"/>
        <v>88</v>
      </c>
      <c r="D11" t="s">
        <v>17</v>
      </c>
      <c r="E11" t="s">
        <v>17</v>
      </c>
      <c r="F11" t="s">
        <v>17</v>
      </c>
      <c r="G11" t="s">
        <v>17</v>
      </c>
      <c r="H11" t="s">
        <v>16</v>
      </c>
      <c r="I11" t="s">
        <v>17</v>
      </c>
      <c r="J11" t="s">
        <v>16</v>
      </c>
      <c r="K11" t="s">
        <v>16</v>
      </c>
      <c r="L11" t="s">
        <v>16</v>
      </c>
      <c r="M11" t="s">
        <v>17</v>
      </c>
      <c r="N11" t="s">
        <v>17</v>
      </c>
      <c r="O11" t="s">
        <v>17</v>
      </c>
      <c r="P11" t="s">
        <v>17</v>
      </c>
    </row>
    <row r="12" spans="1:34" x14ac:dyDescent="0.2">
      <c r="A12" s="20">
        <v>2452020864</v>
      </c>
      <c r="B12" s="3" t="s">
        <v>26</v>
      </c>
      <c r="C12">
        <f t="shared" si="0"/>
        <v>70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  <c r="I12" t="s">
        <v>17</v>
      </c>
      <c r="J12" t="s">
        <v>17</v>
      </c>
      <c r="K12" t="s">
        <v>16</v>
      </c>
      <c r="L12" t="s">
        <v>17</v>
      </c>
      <c r="M12" t="s">
        <v>16</v>
      </c>
      <c r="N12" t="s">
        <v>16</v>
      </c>
      <c r="O12" t="s">
        <v>16</v>
      </c>
      <c r="P12" t="s">
        <v>16</v>
      </c>
    </row>
    <row r="13" spans="1:34" x14ac:dyDescent="0.2">
      <c r="A13" s="20">
        <v>2452020865</v>
      </c>
      <c r="B13" s="3" t="s">
        <v>27</v>
      </c>
      <c r="C13">
        <f t="shared" si="0"/>
        <v>76</v>
      </c>
      <c r="D13" t="s">
        <v>17</v>
      </c>
      <c r="E13" t="s">
        <v>17</v>
      </c>
      <c r="F13" t="s">
        <v>16</v>
      </c>
      <c r="G13" t="s">
        <v>17</v>
      </c>
      <c r="H13" t="s">
        <v>16</v>
      </c>
      <c r="I13" t="s">
        <v>16</v>
      </c>
      <c r="J13" t="s">
        <v>17</v>
      </c>
      <c r="K13" t="s">
        <v>16</v>
      </c>
      <c r="L13" t="s">
        <v>16</v>
      </c>
      <c r="M13" t="s">
        <v>16</v>
      </c>
      <c r="N13" t="s">
        <v>17</v>
      </c>
      <c r="O13" t="s">
        <v>16</v>
      </c>
      <c r="P13" t="s">
        <v>16</v>
      </c>
    </row>
    <row r="14" spans="1:34" x14ac:dyDescent="0.2">
      <c r="A14" s="20">
        <v>2452020867</v>
      </c>
      <c r="B14" s="3" t="s">
        <v>28</v>
      </c>
      <c r="C14">
        <f t="shared" si="0"/>
        <v>61</v>
      </c>
      <c r="D14" t="s">
        <v>16</v>
      </c>
      <c r="E14" t="s">
        <v>16</v>
      </c>
      <c r="F14" t="s">
        <v>16</v>
      </c>
      <c r="G14" t="s">
        <v>16</v>
      </c>
      <c r="H14" t="s">
        <v>16</v>
      </c>
      <c r="I14" t="s">
        <v>16</v>
      </c>
      <c r="J14" t="s">
        <v>16</v>
      </c>
      <c r="K14" t="s">
        <v>16</v>
      </c>
      <c r="L14" t="s">
        <v>16</v>
      </c>
      <c r="M14" t="s">
        <v>16</v>
      </c>
      <c r="N14" t="s">
        <v>16</v>
      </c>
      <c r="O14" t="s">
        <v>16</v>
      </c>
      <c r="P14" t="s">
        <v>16</v>
      </c>
    </row>
    <row r="15" spans="1:34" x14ac:dyDescent="0.2">
      <c r="A15" s="20">
        <v>2452020869</v>
      </c>
      <c r="B15" s="3" t="s">
        <v>29</v>
      </c>
      <c r="C15">
        <f t="shared" si="0"/>
        <v>88</v>
      </c>
      <c r="D15" t="s">
        <v>17</v>
      </c>
      <c r="E15" t="s">
        <v>17</v>
      </c>
      <c r="F15" t="s">
        <v>17</v>
      </c>
      <c r="G15" t="s">
        <v>17</v>
      </c>
      <c r="H15" t="s">
        <v>17</v>
      </c>
      <c r="I15" t="s">
        <v>16</v>
      </c>
      <c r="J15" t="s">
        <v>17</v>
      </c>
      <c r="K15" t="s">
        <v>16</v>
      </c>
      <c r="L15" t="s">
        <v>16</v>
      </c>
      <c r="M15" t="s">
        <v>16</v>
      </c>
      <c r="N15" t="s">
        <v>17</v>
      </c>
      <c r="O15" t="s">
        <v>17</v>
      </c>
      <c r="P15" t="s">
        <v>17</v>
      </c>
    </row>
    <row r="16" spans="1:34" x14ac:dyDescent="0.2">
      <c r="A16" s="18">
        <v>2452020870</v>
      </c>
      <c r="B16" s="3" t="s">
        <v>30</v>
      </c>
      <c r="C16">
        <f t="shared" si="0"/>
        <v>79</v>
      </c>
      <c r="D16" t="s">
        <v>17</v>
      </c>
      <c r="E16" t="s">
        <v>17</v>
      </c>
      <c r="F16" t="s">
        <v>17</v>
      </c>
      <c r="G16" t="s">
        <v>17</v>
      </c>
      <c r="H16" t="s">
        <v>17</v>
      </c>
      <c r="I16" t="s">
        <v>17</v>
      </c>
      <c r="J16" t="s">
        <v>16</v>
      </c>
      <c r="K16" t="s">
        <v>16</v>
      </c>
      <c r="L16" t="s">
        <v>16</v>
      </c>
      <c r="M16" t="s">
        <v>16</v>
      </c>
      <c r="N16" t="s">
        <v>16</v>
      </c>
      <c r="O16" t="s">
        <v>16</v>
      </c>
      <c r="P16" t="s">
        <v>16</v>
      </c>
    </row>
    <row r="17" spans="1:35" x14ac:dyDescent="0.2">
      <c r="A17" s="20">
        <v>2452020873</v>
      </c>
      <c r="B17" s="3" t="s">
        <v>31</v>
      </c>
      <c r="C17">
        <f t="shared" si="0"/>
        <v>76</v>
      </c>
      <c r="D17" t="s">
        <v>17</v>
      </c>
      <c r="E17" t="s">
        <v>17</v>
      </c>
      <c r="F17" t="s">
        <v>17</v>
      </c>
      <c r="G17" t="s">
        <v>17</v>
      </c>
      <c r="H17" t="s">
        <v>16</v>
      </c>
      <c r="I17" t="s">
        <v>17</v>
      </c>
      <c r="J17" t="s">
        <v>16</v>
      </c>
      <c r="K17" t="s">
        <v>16</v>
      </c>
      <c r="L17" t="s">
        <v>16</v>
      </c>
      <c r="M17" t="s">
        <v>16</v>
      </c>
      <c r="N17" t="s">
        <v>16</v>
      </c>
      <c r="O17" t="s">
        <v>16</v>
      </c>
      <c r="P17" t="s">
        <v>16</v>
      </c>
    </row>
    <row r="18" spans="1:35" x14ac:dyDescent="0.2">
      <c r="A18" s="20">
        <v>2452020877</v>
      </c>
      <c r="B18" s="3" t="s">
        <v>32</v>
      </c>
      <c r="C18">
        <f t="shared" si="0"/>
        <v>97</v>
      </c>
      <c r="D18" t="s">
        <v>17</v>
      </c>
      <c r="E18" t="s">
        <v>17</v>
      </c>
      <c r="F18" t="s">
        <v>17</v>
      </c>
      <c r="G18" t="s">
        <v>17</v>
      </c>
      <c r="H18" t="s">
        <v>17</v>
      </c>
      <c r="I18" t="s">
        <v>17</v>
      </c>
      <c r="J18" t="s">
        <v>17</v>
      </c>
      <c r="K18" t="s">
        <v>17</v>
      </c>
      <c r="L18" t="s">
        <v>17</v>
      </c>
      <c r="M18" t="s">
        <v>16</v>
      </c>
      <c r="N18" t="s">
        <v>17</v>
      </c>
      <c r="O18" t="s">
        <v>17</v>
      </c>
      <c r="P18" t="s">
        <v>17</v>
      </c>
    </row>
    <row r="19" spans="1:35" x14ac:dyDescent="0.2">
      <c r="A19" s="20">
        <v>2452020878</v>
      </c>
      <c r="B19" s="3" t="s">
        <v>33</v>
      </c>
      <c r="C19">
        <f t="shared" si="0"/>
        <v>85</v>
      </c>
      <c r="D19" t="s">
        <v>17</v>
      </c>
      <c r="E19" t="s">
        <v>17</v>
      </c>
      <c r="F19" t="s">
        <v>17</v>
      </c>
      <c r="G19" t="s">
        <v>17</v>
      </c>
      <c r="H19" t="s">
        <v>16</v>
      </c>
      <c r="I19" t="s">
        <v>17</v>
      </c>
      <c r="J19" t="s">
        <v>16</v>
      </c>
      <c r="K19" t="s">
        <v>17</v>
      </c>
      <c r="L19" t="s">
        <v>16</v>
      </c>
      <c r="M19" t="s">
        <v>16</v>
      </c>
      <c r="N19" t="s">
        <v>17</v>
      </c>
      <c r="O19" t="s">
        <v>17</v>
      </c>
      <c r="P19" t="s">
        <v>16</v>
      </c>
    </row>
    <row r="20" spans="1:35" x14ac:dyDescent="0.2">
      <c r="A20" s="20">
        <v>2452020879</v>
      </c>
      <c r="B20" s="3" t="s">
        <v>34</v>
      </c>
      <c r="C20">
        <f t="shared" si="0"/>
        <v>85</v>
      </c>
      <c r="D20" t="s">
        <v>17</v>
      </c>
      <c r="E20" t="s">
        <v>17</v>
      </c>
      <c r="F20" t="s">
        <v>17</v>
      </c>
      <c r="G20" t="s">
        <v>17</v>
      </c>
      <c r="H20" t="s">
        <v>16</v>
      </c>
      <c r="I20" t="s">
        <v>17</v>
      </c>
      <c r="J20" t="s">
        <v>16</v>
      </c>
      <c r="K20" t="s">
        <v>17</v>
      </c>
      <c r="L20" t="s">
        <v>16</v>
      </c>
      <c r="M20" t="s">
        <v>16</v>
      </c>
      <c r="N20" t="s">
        <v>17</v>
      </c>
      <c r="O20" t="s">
        <v>17</v>
      </c>
      <c r="P20" t="s">
        <v>16</v>
      </c>
    </row>
    <row r="21" spans="1:35" x14ac:dyDescent="0.2">
      <c r="A21" s="20">
        <v>2452020899</v>
      </c>
      <c r="B21" s="3" t="s">
        <v>35</v>
      </c>
      <c r="C21">
        <f t="shared" si="0"/>
        <v>91</v>
      </c>
      <c r="D21" t="s">
        <v>17</v>
      </c>
      <c r="E21" t="s">
        <v>17</v>
      </c>
      <c r="F21" t="s">
        <v>16</v>
      </c>
      <c r="G21" t="s">
        <v>16</v>
      </c>
      <c r="H21" t="s">
        <v>17</v>
      </c>
      <c r="I21" t="s">
        <v>17</v>
      </c>
      <c r="J21" t="s">
        <v>17</v>
      </c>
      <c r="K21" t="s">
        <v>17</v>
      </c>
      <c r="L21" t="s">
        <v>17</v>
      </c>
      <c r="M21" t="s">
        <v>16</v>
      </c>
      <c r="N21" t="s">
        <v>17</v>
      </c>
      <c r="O21" t="s">
        <v>17</v>
      </c>
      <c r="P21" t="s">
        <v>17</v>
      </c>
    </row>
    <row r="22" spans="1:35" x14ac:dyDescent="0.2">
      <c r="A22" s="20">
        <v>2452020909</v>
      </c>
      <c r="B22" s="3" t="s">
        <v>36</v>
      </c>
      <c r="C22">
        <f t="shared" si="0"/>
        <v>85</v>
      </c>
      <c r="D22" t="s">
        <v>17</v>
      </c>
      <c r="E22" t="s">
        <v>17</v>
      </c>
      <c r="F22" t="s">
        <v>17</v>
      </c>
      <c r="G22" t="s">
        <v>17</v>
      </c>
      <c r="H22" t="s">
        <v>16</v>
      </c>
      <c r="I22" t="s">
        <v>17</v>
      </c>
      <c r="J22" t="s">
        <v>16</v>
      </c>
      <c r="K22" t="s">
        <v>17</v>
      </c>
      <c r="L22" t="s">
        <v>16</v>
      </c>
      <c r="M22" t="s">
        <v>16</v>
      </c>
      <c r="N22" t="s">
        <v>17</v>
      </c>
      <c r="O22" t="s">
        <v>17</v>
      </c>
      <c r="P22" t="s">
        <v>16</v>
      </c>
    </row>
    <row r="23" spans="1:35" s="16" customFormat="1" x14ac:dyDescent="0.2">
      <c r="A23" s="20">
        <v>2452020910</v>
      </c>
      <c r="B23" s="3" t="s">
        <v>37</v>
      </c>
      <c r="C23">
        <f t="shared" si="0"/>
        <v>97</v>
      </c>
      <c r="D23" t="s">
        <v>17</v>
      </c>
      <c r="E23" t="s">
        <v>17</v>
      </c>
      <c r="F23" t="s">
        <v>17</v>
      </c>
      <c r="G23" t="s">
        <v>17</v>
      </c>
      <c r="H23" t="s">
        <v>17</v>
      </c>
      <c r="I23" t="s">
        <v>17</v>
      </c>
      <c r="J23" t="s">
        <v>17</v>
      </c>
      <c r="K23" t="s">
        <v>17</v>
      </c>
      <c r="L23" t="s">
        <v>17</v>
      </c>
      <c r="M23" t="s">
        <v>16</v>
      </c>
      <c r="N23" t="s">
        <v>17</v>
      </c>
      <c r="O23" t="s">
        <v>17</v>
      </c>
      <c r="P23" t="s">
        <v>17</v>
      </c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</row>
    <row r="24" spans="1:35" x14ac:dyDescent="0.2">
      <c r="A24" s="18">
        <v>2452020911</v>
      </c>
      <c r="B24" s="3" t="s">
        <v>38</v>
      </c>
      <c r="C24">
        <f t="shared" si="0"/>
        <v>76</v>
      </c>
      <c r="D24" t="s">
        <v>17</v>
      </c>
      <c r="E24" t="s">
        <v>17</v>
      </c>
      <c r="F24" t="s">
        <v>17</v>
      </c>
      <c r="G24" t="s">
        <v>17</v>
      </c>
      <c r="H24" t="s">
        <v>16</v>
      </c>
      <c r="I24" t="s">
        <v>17</v>
      </c>
      <c r="J24" t="s">
        <v>16</v>
      </c>
      <c r="K24" t="s">
        <v>16</v>
      </c>
      <c r="L24" t="s">
        <v>16</v>
      </c>
      <c r="M24" t="s">
        <v>16</v>
      </c>
      <c r="N24" t="s">
        <v>16</v>
      </c>
      <c r="O24" t="s">
        <v>16</v>
      </c>
      <c r="P24" t="s">
        <v>16</v>
      </c>
    </row>
    <row r="25" spans="1:35" x14ac:dyDescent="0.2">
      <c r="A25" s="18">
        <v>2452020917</v>
      </c>
      <c r="B25" s="3" t="s">
        <v>39</v>
      </c>
      <c r="C25">
        <f t="shared" si="0"/>
        <v>67</v>
      </c>
      <c r="D25" t="s">
        <v>16</v>
      </c>
      <c r="E25" t="s">
        <v>17</v>
      </c>
      <c r="F25" t="s">
        <v>17</v>
      </c>
      <c r="G25" t="s">
        <v>16</v>
      </c>
      <c r="H25" t="s">
        <v>16</v>
      </c>
      <c r="I25" t="s">
        <v>16</v>
      </c>
      <c r="J25" t="s">
        <v>16</v>
      </c>
      <c r="K25" t="s">
        <v>16</v>
      </c>
      <c r="L25" t="s">
        <v>16</v>
      </c>
      <c r="M25" t="s">
        <v>16</v>
      </c>
      <c r="N25" t="s">
        <v>16</v>
      </c>
      <c r="O25" t="s">
        <v>16</v>
      </c>
      <c r="P25" t="s">
        <v>16</v>
      </c>
    </row>
    <row r="26" spans="1:35" x14ac:dyDescent="0.2">
      <c r="A26" s="20">
        <v>2452020919</v>
      </c>
      <c r="B26" s="3" t="s">
        <v>40</v>
      </c>
      <c r="C26">
        <f t="shared" si="0"/>
        <v>64</v>
      </c>
      <c r="D26" t="s">
        <v>16</v>
      </c>
      <c r="E26" t="s">
        <v>16</v>
      </c>
      <c r="F26" t="s">
        <v>17</v>
      </c>
      <c r="G26" t="s">
        <v>16</v>
      </c>
      <c r="H26" t="s">
        <v>16</v>
      </c>
      <c r="I26" t="s">
        <v>16</v>
      </c>
      <c r="J26" t="s">
        <v>16</v>
      </c>
      <c r="K26" t="s">
        <v>16</v>
      </c>
      <c r="L26" t="s">
        <v>16</v>
      </c>
      <c r="M26" t="s">
        <v>16</v>
      </c>
      <c r="N26" t="s">
        <v>16</v>
      </c>
      <c r="O26" t="s">
        <v>16</v>
      </c>
      <c r="P26" t="s">
        <v>16</v>
      </c>
    </row>
    <row r="27" spans="1:35" x14ac:dyDescent="0.2">
      <c r="A27" s="20">
        <v>2452020922</v>
      </c>
      <c r="B27" s="3" t="s">
        <v>41</v>
      </c>
      <c r="C27">
        <f t="shared" si="0"/>
        <v>64</v>
      </c>
      <c r="D27" t="s">
        <v>16</v>
      </c>
      <c r="E27" t="s">
        <v>16</v>
      </c>
      <c r="F27" t="s">
        <v>17</v>
      </c>
      <c r="G27" t="s">
        <v>16</v>
      </c>
      <c r="H27" t="s">
        <v>16</v>
      </c>
      <c r="I27" t="s">
        <v>16</v>
      </c>
      <c r="J27" t="s">
        <v>16</v>
      </c>
      <c r="K27" t="s">
        <v>16</v>
      </c>
      <c r="L27" t="s">
        <v>16</v>
      </c>
      <c r="M27" t="s">
        <v>16</v>
      </c>
      <c r="N27" t="s">
        <v>16</v>
      </c>
      <c r="O27" t="s">
        <v>16</v>
      </c>
      <c r="P27" t="s">
        <v>16</v>
      </c>
    </row>
    <row r="28" spans="1:35" x14ac:dyDescent="0.2">
      <c r="A28" s="20">
        <v>2452020924</v>
      </c>
      <c r="B28" s="3" t="s">
        <v>42</v>
      </c>
      <c r="C28">
        <f t="shared" si="0"/>
        <v>67</v>
      </c>
      <c r="D28" t="s">
        <v>17</v>
      </c>
      <c r="E28" t="s">
        <v>16</v>
      </c>
      <c r="F28" t="s">
        <v>16</v>
      </c>
      <c r="G28" t="s">
        <v>16</v>
      </c>
      <c r="H28" t="s">
        <v>16</v>
      </c>
      <c r="I28" t="s">
        <v>16</v>
      </c>
      <c r="J28" t="s">
        <v>16</v>
      </c>
      <c r="K28" t="s">
        <v>16</v>
      </c>
      <c r="L28" t="s">
        <v>16</v>
      </c>
      <c r="M28" t="s">
        <v>16</v>
      </c>
      <c r="N28" t="s">
        <v>17</v>
      </c>
      <c r="O28" t="s">
        <v>16</v>
      </c>
      <c r="P28" t="s">
        <v>16</v>
      </c>
    </row>
    <row r="29" spans="1:35" x14ac:dyDescent="0.2">
      <c r="A29" s="20">
        <v>2452020927</v>
      </c>
      <c r="B29" s="3" t="s">
        <v>43</v>
      </c>
      <c r="C29">
        <f t="shared" si="0"/>
        <v>61</v>
      </c>
      <c r="D29" t="s">
        <v>16</v>
      </c>
      <c r="E29" t="s">
        <v>16</v>
      </c>
      <c r="F29" t="s">
        <v>16</v>
      </c>
      <c r="G29" t="s">
        <v>16</v>
      </c>
      <c r="H29" t="s">
        <v>16</v>
      </c>
      <c r="I29" t="s">
        <v>16</v>
      </c>
      <c r="J29" t="s">
        <v>16</v>
      </c>
      <c r="K29" t="s">
        <v>16</v>
      </c>
      <c r="L29" t="s">
        <v>16</v>
      </c>
      <c r="M29" t="s">
        <v>16</v>
      </c>
      <c r="N29" t="s">
        <v>16</v>
      </c>
      <c r="O29" t="s">
        <v>16</v>
      </c>
      <c r="P29" t="s">
        <v>16</v>
      </c>
    </row>
    <row r="30" spans="1:35" x14ac:dyDescent="0.2">
      <c r="A30" s="20">
        <v>2452020928</v>
      </c>
      <c r="B30" s="3" t="s">
        <v>44</v>
      </c>
      <c r="C30">
        <f t="shared" si="0"/>
        <v>79</v>
      </c>
      <c r="D30" t="s">
        <v>17</v>
      </c>
      <c r="E30" t="s">
        <v>17</v>
      </c>
      <c r="F30" t="s">
        <v>17</v>
      </c>
      <c r="G30" t="s">
        <v>17</v>
      </c>
      <c r="H30" t="s">
        <v>16</v>
      </c>
      <c r="I30" t="s">
        <v>17</v>
      </c>
      <c r="J30" t="s">
        <v>16</v>
      </c>
      <c r="K30" t="s">
        <v>16</v>
      </c>
      <c r="L30" t="s">
        <v>16</v>
      </c>
      <c r="M30" t="s">
        <v>16</v>
      </c>
      <c r="N30" t="s">
        <v>16</v>
      </c>
      <c r="O30" t="s">
        <v>17</v>
      </c>
      <c r="P30" t="s">
        <v>16</v>
      </c>
    </row>
    <row r="31" spans="1:35" x14ac:dyDescent="0.2">
      <c r="A31" s="20">
        <v>2452020931</v>
      </c>
      <c r="B31" s="3" t="s">
        <v>45</v>
      </c>
      <c r="C31">
        <f t="shared" si="0"/>
        <v>82</v>
      </c>
      <c r="D31" t="s">
        <v>17</v>
      </c>
      <c r="E31" t="s">
        <v>17</v>
      </c>
      <c r="F31" t="s">
        <v>17</v>
      </c>
      <c r="G31" t="s">
        <v>17</v>
      </c>
      <c r="H31" t="s">
        <v>16</v>
      </c>
      <c r="I31" t="s">
        <v>17</v>
      </c>
      <c r="J31" t="s">
        <v>16</v>
      </c>
      <c r="K31" t="s">
        <v>16</v>
      </c>
      <c r="L31" t="s">
        <v>16</v>
      </c>
      <c r="M31" t="s">
        <v>16</v>
      </c>
      <c r="N31" t="s">
        <v>16</v>
      </c>
      <c r="O31" t="s">
        <v>17</v>
      </c>
      <c r="P31" t="s">
        <v>17</v>
      </c>
    </row>
    <row r="32" spans="1:35" x14ac:dyDescent="0.2">
      <c r="A32" s="20">
        <v>2452020932</v>
      </c>
      <c r="B32" s="3" t="s">
        <v>46</v>
      </c>
      <c r="C32">
        <f t="shared" si="0"/>
        <v>82</v>
      </c>
      <c r="D32" t="s">
        <v>17</v>
      </c>
      <c r="E32" t="s">
        <v>17</v>
      </c>
      <c r="F32" t="s">
        <v>17</v>
      </c>
      <c r="G32" t="s">
        <v>17</v>
      </c>
      <c r="H32" t="s">
        <v>16</v>
      </c>
      <c r="I32" t="s">
        <v>17</v>
      </c>
      <c r="J32" t="s">
        <v>16</v>
      </c>
      <c r="K32" t="s">
        <v>16</v>
      </c>
      <c r="L32" t="s">
        <v>16</v>
      </c>
      <c r="M32" t="s">
        <v>16</v>
      </c>
      <c r="N32" t="s">
        <v>16</v>
      </c>
      <c r="O32" t="s">
        <v>17</v>
      </c>
      <c r="P32" t="s">
        <v>17</v>
      </c>
    </row>
    <row r="33" spans="1:16" x14ac:dyDescent="0.2">
      <c r="A33" s="20">
        <v>2452020934</v>
      </c>
      <c r="B33" s="3" t="s">
        <v>47</v>
      </c>
      <c r="C33">
        <f t="shared" si="0"/>
        <v>64</v>
      </c>
      <c r="D33" t="s">
        <v>17</v>
      </c>
      <c r="E33" t="s">
        <v>16</v>
      </c>
      <c r="F33" t="s">
        <v>16</v>
      </c>
      <c r="G33" t="s">
        <v>16</v>
      </c>
      <c r="H33" t="s">
        <v>16</v>
      </c>
      <c r="I33" t="s">
        <v>16</v>
      </c>
      <c r="J33" t="s">
        <v>16</v>
      </c>
      <c r="K33" t="s">
        <v>16</v>
      </c>
      <c r="L33" t="s">
        <v>16</v>
      </c>
      <c r="M33" t="s">
        <v>16</v>
      </c>
      <c r="N33" t="s">
        <v>16</v>
      </c>
      <c r="O33" t="s">
        <v>16</v>
      </c>
      <c r="P33" t="s">
        <v>16</v>
      </c>
    </row>
    <row r="34" spans="1:16" x14ac:dyDescent="0.2">
      <c r="A34" s="20">
        <v>2452020935</v>
      </c>
      <c r="B34" s="3" t="s">
        <v>48</v>
      </c>
      <c r="C34">
        <f t="shared" si="0"/>
        <v>79</v>
      </c>
      <c r="D34" t="s">
        <v>17</v>
      </c>
      <c r="E34" t="s">
        <v>17</v>
      </c>
      <c r="F34" t="s">
        <v>17</v>
      </c>
      <c r="G34" t="s">
        <v>17</v>
      </c>
      <c r="H34" t="s">
        <v>17</v>
      </c>
      <c r="I34" t="s">
        <v>16</v>
      </c>
      <c r="J34" t="s">
        <v>16</v>
      </c>
      <c r="K34" t="s">
        <v>16</v>
      </c>
      <c r="L34" t="s">
        <v>16</v>
      </c>
      <c r="M34" t="s">
        <v>16</v>
      </c>
      <c r="N34" t="s">
        <v>16</v>
      </c>
      <c r="O34" t="s">
        <v>17</v>
      </c>
      <c r="P34" t="s">
        <v>16</v>
      </c>
    </row>
    <row r="35" spans="1:16" x14ac:dyDescent="0.2">
      <c r="A35" s="20">
        <v>2452020937</v>
      </c>
      <c r="B35" s="3" t="s">
        <v>49</v>
      </c>
      <c r="C35">
        <f t="shared" si="0"/>
        <v>91</v>
      </c>
      <c r="D35" t="s">
        <v>17</v>
      </c>
      <c r="E35" t="s">
        <v>17</v>
      </c>
      <c r="F35" t="s">
        <v>16</v>
      </c>
      <c r="G35" t="s">
        <v>17</v>
      </c>
      <c r="H35" t="s">
        <v>17</v>
      </c>
      <c r="I35" t="s">
        <v>17</v>
      </c>
      <c r="J35" t="s">
        <v>17</v>
      </c>
      <c r="K35" t="s">
        <v>17</v>
      </c>
      <c r="L35" t="s">
        <v>17</v>
      </c>
      <c r="M35" t="s">
        <v>16</v>
      </c>
      <c r="N35" t="s">
        <v>17</v>
      </c>
      <c r="O35" t="s">
        <v>17</v>
      </c>
      <c r="P35" t="s">
        <v>16</v>
      </c>
    </row>
    <row r="36" spans="1:16" x14ac:dyDescent="0.2">
      <c r="A36" s="18">
        <v>2452020940</v>
      </c>
      <c r="B36" s="3" t="s">
        <v>50</v>
      </c>
      <c r="C36">
        <f t="shared" si="0"/>
        <v>70</v>
      </c>
      <c r="D36" t="s">
        <v>17</v>
      </c>
      <c r="E36" t="s">
        <v>17</v>
      </c>
      <c r="F36" t="s">
        <v>16</v>
      </c>
      <c r="G36" t="s">
        <v>17</v>
      </c>
      <c r="H36" t="s">
        <v>16</v>
      </c>
      <c r="I36" t="s">
        <v>16</v>
      </c>
      <c r="J36" t="s">
        <v>16</v>
      </c>
      <c r="K36" t="s">
        <v>16</v>
      </c>
      <c r="L36" t="s">
        <v>16</v>
      </c>
      <c r="M36" t="s">
        <v>16</v>
      </c>
      <c r="N36" t="s">
        <v>16</v>
      </c>
      <c r="O36" t="s">
        <v>16</v>
      </c>
      <c r="P36" t="s">
        <v>16</v>
      </c>
    </row>
    <row r="37" spans="1:16" x14ac:dyDescent="0.2">
      <c r="A37" s="20">
        <v>2452020941</v>
      </c>
      <c r="B37" s="3" t="s">
        <v>51</v>
      </c>
      <c r="C37">
        <f t="shared" si="0"/>
        <v>70</v>
      </c>
      <c r="D37" t="s">
        <v>17</v>
      </c>
      <c r="E37" t="s">
        <v>17</v>
      </c>
      <c r="F37" t="s">
        <v>16</v>
      </c>
      <c r="G37" t="s">
        <v>17</v>
      </c>
      <c r="H37" t="s">
        <v>16</v>
      </c>
      <c r="I37" t="s">
        <v>16</v>
      </c>
      <c r="J37" t="s">
        <v>16</v>
      </c>
      <c r="K37" t="s">
        <v>16</v>
      </c>
      <c r="L37" t="s">
        <v>16</v>
      </c>
      <c r="M37" t="s">
        <v>16</v>
      </c>
      <c r="N37" t="s">
        <v>16</v>
      </c>
      <c r="O37" t="s">
        <v>16</v>
      </c>
      <c r="P37" t="s">
        <v>16</v>
      </c>
    </row>
    <row r="38" spans="1:16" x14ac:dyDescent="0.2">
      <c r="A38" s="20">
        <v>2452020942</v>
      </c>
      <c r="B38" s="3" t="s">
        <v>52</v>
      </c>
      <c r="C38">
        <f t="shared" si="0"/>
        <v>67</v>
      </c>
      <c r="D38" t="s">
        <v>16</v>
      </c>
      <c r="E38" t="s">
        <v>16</v>
      </c>
      <c r="F38" t="s">
        <v>16</v>
      </c>
      <c r="G38" t="s">
        <v>16</v>
      </c>
      <c r="H38" t="s">
        <v>16</v>
      </c>
      <c r="I38" t="s">
        <v>16</v>
      </c>
      <c r="J38" t="s">
        <v>16</v>
      </c>
      <c r="K38" t="s">
        <v>16</v>
      </c>
      <c r="L38" t="s">
        <v>16</v>
      </c>
      <c r="M38" t="s">
        <v>16</v>
      </c>
      <c r="N38" t="s">
        <v>17</v>
      </c>
      <c r="O38" t="s">
        <v>17</v>
      </c>
      <c r="P38" t="s">
        <v>16</v>
      </c>
    </row>
    <row r="39" spans="1:16" x14ac:dyDescent="0.2">
      <c r="A39" s="20">
        <v>2452020945</v>
      </c>
      <c r="B39" s="3" t="s">
        <v>53</v>
      </c>
      <c r="C39">
        <f t="shared" si="0"/>
        <v>91</v>
      </c>
      <c r="D39" t="s">
        <v>17</v>
      </c>
      <c r="E39" t="s">
        <v>17</v>
      </c>
      <c r="F39" t="s">
        <v>17</v>
      </c>
      <c r="G39" t="s">
        <v>17</v>
      </c>
      <c r="H39" t="s">
        <v>17</v>
      </c>
      <c r="I39" t="s">
        <v>17</v>
      </c>
      <c r="J39" t="s">
        <v>17</v>
      </c>
      <c r="K39" t="s">
        <v>17</v>
      </c>
      <c r="L39" t="s">
        <v>16</v>
      </c>
      <c r="M39" t="s">
        <v>16</v>
      </c>
      <c r="N39" t="s">
        <v>17</v>
      </c>
      <c r="O39" t="s">
        <v>17</v>
      </c>
      <c r="P39" t="s">
        <v>16</v>
      </c>
    </row>
    <row r="40" spans="1:16" x14ac:dyDescent="0.2">
      <c r="A40" s="20">
        <v>2452020949</v>
      </c>
      <c r="B40" s="3" t="s">
        <v>54</v>
      </c>
      <c r="C40">
        <f>110-COUNTIF(D40:AZ40,"×")*3</f>
        <v>104</v>
      </c>
      <c r="D40" t="s">
        <v>17</v>
      </c>
      <c r="E40" t="s">
        <v>17</v>
      </c>
      <c r="F40" t="s">
        <v>17</v>
      </c>
      <c r="G40" t="s">
        <v>17</v>
      </c>
      <c r="H40" t="s">
        <v>17</v>
      </c>
      <c r="I40" t="s">
        <v>16</v>
      </c>
      <c r="J40" t="s">
        <v>17</v>
      </c>
      <c r="K40" t="s">
        <v>17</v>
      </c>
      <c r="L40" t="s">
        <v>17</v>
      </c>
      <c r="M40" t="s">
        <v>16</v>
      </c>
      <c r="N40" t="s">
        <v>17</v>
      </c>
      <c r="O40" t="s">
        <v>17</v>
      </c>
      <c r="P40" t="s">
        <v>17</v>
      </c>
    </row>
    <row r="41" spans="1:16" x14ac:dyDescent="0.2">
      <c r="A41" s="20">
        <v>2452020950</v>
      </c>
      <c r="B41" s="3" t="s">
        <v>55</v>
      </c>
      <c r="C41">
        <f t="shared" si="0"/>
        <v>91</v>
      </c>
      <c r="D41" t="s">
        <v>17</v>
      </c>
      <c r="E41" t="s">
        <v>17</v>
      </c>
      <c r="F41" t="s">
        <v>16</v>
      </c>
      <c r="G41" t="s">
        <v>17</v>
      </c>
      <c r="H41" t="s">
        <v>17</v>
      </c>
      <c r="I41" t="s">
        <v>17</v>
      </c>
      <c r="J41" t="s">
        <v>17</v>
      </c>
      <c r="K41" t="s">
        <v>17</v>
      </c>
      <c r="L41" t="s">
        <v>17</v>
      </c>
      <c r="M41" t="s">
        <v>16</v>
      </c>
      <c r="N41" t="s">
        <v>17</v>
      </c>
      <c r="O41" t="s">
        <v>17</v>
      </c>
      <c r="P41" t="s">
        <v>16</v>
      </c>
    </row>
    <row r="42" spans="1:16" x14ac:dyDescent="0.2">
      <c r="A42" s="20">
        <v>2452020953</v>
      </c>
      <c r="B42" s="3" t="s">
        <v>56</v>
      </c>
      <c r="C42">
        <f t="shared" si="0"/>
        <v>61</v>
      </c>
      <c r="D42" t="s">
        <v>16</v>
      </c>
      <c r="E42" t="s">
        <v>16</v>
      </c>
      <c r="F42" t="s">
        <v>16</v>
      </c>
      <c r="G42" t="s">
        <v>16</v>
      </c>
      <c r="H42" t="s">
        <v>16</v>
      </c>
      <c r="I42" t="s">
        <v>16</v>
      </c>
      <c r="J42" t="s">
        <v>16</v>
      </c>
      <c r="K42" t="s">
        <v>16</v>
      </c>
      <c r="L42" t="s">
        <v>16</v>
      </c>
      <c r="M42" t="s">
        <v>16</v>
      </c>
      <c r="N42" t="s">
        <v>16</v>
      </c>
      <c r="O42" t="s">
        <v>16</v>
      </c>
      <c r="P42" t="s">
        <v>16</v>
      </c>
    </row>
    <row r="43" spans="1:16" x14ac:dyDescent="0.2">
      <c r="A43" s="20">
        <v>2452020955</v>
      </c>
      <c r="B43" s="3" t="s">
        <v>57</v>
      </c>
      <c r="C43">
        <f t="shared" si="0"/>
        <v>97</v>
      </c>
      <c r="D43" t="s">
        <v>17</v>
      </c>
      <c r="E43" t="s">
        <v>17</v>
      </c>
      <c r="F43" t="s">
        <v>17</v>
      </c>
      <c r="G43" t="s">
        <v>17</v>
      </c>
      <c r="H43" t="s">
        <v>17</v>
      </c>
      <c r="I43" t="s">
        <v>17</v>
      </c>
      <c r="J43" t="s">
        <v>17</v>
      </c>
      <c r="K43" t="s">
        <v>17</v>
      </c>
      <c r="L43" t="s">
        <v>16</v>
      </c>
      <c r="M43" t="s">
        <v>17</v>
      </c>
      <c r="N43" t="s">
        <v>17</v>
      </c>
      <c r="O43" t="s">
        <v>17</v>
      </c>
      <c r="P43" t="s">
        <v>17</v>
      </c>
    </row>
    <row r="44" spans="1:16" x14ac:dyDescent="0.2">
      <c r="A44" s="20">
        <v>2452020958</v>
      </c>
      <c r="B44" s="3" t="s">
        <v>58</v>
      </c>
      <c r="C44">
        <f t="shared" si="0"/>
        <v>64</v>
      </c>
      <c r="D44" t="s">
        <v>16</v>
      </c>
      <c r="E44" t="s">
        <v>16</v>
      </c>
      <c r="F44" t="s">
        <v>17</v>
      </c>
      <c r="G44" t="s">
        <v>16</v>
      </c>
      <c r="H44" t="s">
        <v>16</v>
      </c>
      <c r="I44" t="s">
        <v>16</v>
      </c>
      <c r="J44" t="s">
        <v>16</v>
      </c>
      <c r="K44" t="s">
        <v>16</v>
      </c>
      <c r="L44" t="s">
        <v>16</v>
      </c>
      <c r="M44" t="s">
        <v>16</v>
      </c>
      <c r="N44" t="s">
        <v>16</v>
      </c>
      <c r="O44" t="s">
        <v>16</v>
      </c>
      <c r="P44" t="s">
        <v>16</v>
      </c>
    </row>
    <row r="45" spans="1:16" x14ac:dyDescent="0.2">
      <c r="A45" s="20">
        <v>2452020963</v>
      </c>
      <c r="B45" s="3" t="s">
        <v>59</v>
      </c>
      <c r="C45">
        <f t="shared" si="0"/>
        <v>64</v>
      </c>
      <c r="D45" t="s">
        <v>16</v>
      </c>
      <c r="E45" t="s">
        <v>16</v>
      </c>
      <c r="F45" t="s">
        <v>16</v>
      </c>
      <c r="G45" t="s">
        <v>16</v>
      </c>
      <c r="H45" t="s">
        <v>16</v>
      </c>
      <c r="I45" t="s">
        <v>16</v>
      </c>
      <c r="J45" t="s">
        <v>16</v>
      </c>
      <c r="K45" t="s">
        <v>16</v>
      </c>
      <c r="L45" t="s">
        <v>17</v>
      </c>
      <c r="M45" t="s">
        <v>16</v>
      </c>
      <c r="N45" t="s">
        <v>16</v>
      </c>
      <c r="O45" t="s">
        <v>16</v>
      </c>
      <c r="P45" t="s">
        <v>16</v>
      </c>
    </row>
    <row r="46" spans="1:16" x14ac:dyDescent="0.2">
      <c r="A46" s="20">
        <v>2452020966</v>
      </c>
      <c r="B46" s="3" t="s">
        <v>60</v>
      </c>
      <c r="C46">
        <f t="shared" si="0"/>
        <v>61</v>
      </c>
      <c r="D46" t="s">
        <v>16</v>
      </c>
      <c r="E46" t="s">
        <v>16</v>
      </c>
      <c r="F46" t="s">
        <v>16</v>
      </c>
      <c r="G46" t="s">
        <v>16</v>
      </c>
      <c r="H46" t="s">
        <v>16</v>
      </c>
      <c r="I46" t="s">
        <v>16</v>
      </c>
      <c r="J46" t="s">
        <v>16</v>
      </c>
      <c r="K46" t="s">
        <v>16</v>
      </c>
      <c r="L46" t="s">
        <v>16</v>
      </c>
      <c r="M46" t="s">
        <v>16</v>
      </c>
      <c r="N46" t="s">
        <v>16</v>
      </c>
      <c r="O46" t="s">
        <v>16</v>
      </c>
      <c r="P46" t="s">
        <v>16</v>
      </c>
    </row>
    <row r="47" spans="1:16" x14ac:dyDescent="0.2">
      <c r="A47" s="21">
        <v>2452020968</v>
      </c>
      <c r="B47" s="22" t="s">
        <v>61</v>
      </c>
      <c r="C47">
        <f t="shared" si="0"/>
        <v>61</v>
      </c>
      <c r="D47" t="s">
        <v>16</v>
      </c>
      <c r="E47" t="s">
        <v>16</v>
      </c>
      <c r="F47" t="s">
        <v>16</v>
      </c>
      <c r="G47" t="s">
        <v>16</v>
      </c>
      <c r="H47" t="s">
        <v>16</v>
      </c>
      <c r="I47" t="s">
        <v>16</v>
      </c>
      <c r="J47" t="s">
        <v>16</v>
      </c>
      <c r="K47" t="s">
        <v>16</v>
      </c>
      <c r="L47" t="s">
        <v>16</v>
      </c>
      <c r="M47" t="s">
        <v>16</v>
      </c>
      <c r="N47" t="s">
        <v>16</v>
      </c>
      <c r="O47" t="s">
        <v>16</v>
      </c>
      <c r="P47" t="s">
        <v>16</v>
      </c>
    </row>
    <row r="48" spans="1:16" x14ac:dyDescent="0.2">
      <c r="A48" s="20">
        <v>2452020970</v>
      </c>
      <c r="B48" s="3" t="s">
        <v>62</v>
      </c>
      <c r="C48">
        <f t="shared" si="0"/>
        <v>64</v>
      </c>
      <c r="D48" t="s">
        <v>16</v>
      </c>
      <c r="E48" t="s">
        <v>16</v>
      </c>
      <c r="F48" t="s">
        <v>16</v>
      </c>
      <c r="G48" t="s">
        <v>16</v>
      </c>
      <c r="H48" t="s">
        <v>16</v>
      </c>
      <c r="I48" t="s">
        <v>16</v>
      </c>
      <c r="J48" t="s">
        <v>16</v>
      </c>
      <c r="K48" t="s">
        <v>16</v>
      </c>
      <c r="L48" t="s">
        <v>17</v>
      </c>
      <c r="M48" t="s">
        <v>16</v>
      </c>
      <c r="N48" t="s">
        <v>16</v>
      </c>
      <c r="O48" t="s">
        <v>16</v>
      </c>
      <c r="P48" t="s">
        <v>16</v>
      </c>
    </row>
    <row r="49" spans="1:65" x14ac:dyDescent="0.2">
      <c r="A49" s="18">
        <v>2452020972</v>
      </c>
      <c r="B49" s="3" t="s">
        <v>63</v>
      </c>
      <c r="C49">
        <f t="shared" si="0"/>
        <v>64</v>
      </c>
      <c r="D49" t="s">
        <v>16</v>
      </c>
      <c r="E49" t="s">
        <v>16</v>
      </c>
      <c r="F49" t="s">
        <v>16</v>
      </c>
      <c r="G49" t="s">
        <v>16</v>
      </c>
      <c r="H49" t="s">
        <v>16</v>
      </c>
      <c r="I49" t="s">
        <v>16</v>
      </c>
      <c r="J49" t="s">
        <v>16</v>
      </c>
      <c r="K49" t="s">
        <v>16</v>
      </c>
      <c r="L49" t="s">
        <v>17</v>
      </c>
      <c r="M49" t="s">
        <v>16</v>
      </c>
      <c r="N49" t="s">
        <v>16</v>
      </c>
      <c r="O49" t="s">
        <v>16</v>
      </c>
      <c r="P49" t="s">
        <v>16</v>
      </c>
    </row>
    <row r="50" spans="1:65" x14ac:dyDescent="0.2">
      <c r="A50" s="20">
        <v>2452020974</v>
      </c>
      <c r="B50" s="3" t="s">
        <v>64</v>
      </c>
      <c r="C50">
        <f t="shared" si="0"/>
        <v>70</v>
      </c>
      <c r="D50" t="s">
        <v>17</v>
      </c>
      <c r="E50" t="s">
        <v>17</v>
      </c>
      <c r="F50" t="s">
        <v>16</v>
      </c>
      <c r="G50" t="s">
        <v>16</v>
      </c>
      <c r="H50" t="s">
        <v>16</v>
      </c>
      <c r="I50" t="s">
        <v>16</v>
      </c>
      <c r="J50" t="s">
        <v>16</v>
      </c>
      <c r="K50" t="s">
        <v>17</v>
      </c>
      <c r="L50" t="s">
        <v>16</v>
      </c>
      <c r="M50" t="s">
        <v>16</v>
      </c>
      <c r="N50" t="s">
        <v>16</v>
      </c>
      <c r="O50" t="s">
        <v>16</v>
      </c>
      <c r="P50" t="s">
        <v>16</v>
      </c>
    </row>
    <row r="51" spans="1:65" x14ac:dyDescent="0.2">
      <c r="A51" s="20">
        <v>2452020977</v>
      </c>
      <c r="B51" s="3" t="s">
        <v>65</v>
      </c>
      <c r="C51">
        <f t="shared" si="0"/>
        <v>61</v>
      </c>
      <c r="D51" t="s">
        <v>16</v>
      </c>
      <c r="E51" t="s">
        <v>16</v>
      </c>
      <c r="F51" t="s">
        <v>16</v>
      </c>
      <c r="G51" t="s">
        <v>16</v>
      </c>
      <c r="H51" t="s">
        <v>16</v>
      </c>
      <c r="I51" t="s">
        <v>16</v>
      </c>
      <c r="J51" t="s">
        <v>16</v>
      </c>
      <c r="K51" t="s">
        <v>16</v>
      </c>
      <c r="L51" t="s">
        <v>16</v>
      </c>
      <c r="M51" t="s">
        <v>16</v>
      </c>
      <c r="N51" t="s">
        <v>16</v>
      </c>
      <c r="O51" t="s">
        <v>16</v>
      </c>
      <c r="P51" t="s">
        <v>16</v>
      </c>
    </row>
    <row r="52" spans="1:65" x14ac:dyDescent="0.2">
      <c r="A52" s="20">
        <v>2452020981</v>
      </c>
      <c r="B52" s="3" t="s">
        <v>66</v>
      </c>
      <c r="C52">
        <f t="shared" si="0"/>
        <v>79</v>
      </c>
      <c r="D52" t="s">
        <v>17</v>
      </c>
      <c r="E52" t="s">
        <v>17</v>
      </c>
      <c r="F52" t="s">
        <v>17</v>
      </c>
      <c r="G52" t="s">
        <v>17</v>
      </c>
      <c r="H52" t="s">
        <v>17</v>
      </c>
      <c r="I52" t="s">
        <v>16</v>
      </c>
      <c r="J52" t="s">
        <v>16</v>
      </c>
      <c r="K52" t="s">
        <v>16</v>
      </c>
      <c r="L52" t="s">
        <v>16</v>
      </c>
      <c r="M52" t="s">
        <v>16</v>
      </c>
      <c r="N52" t="s">
        <v>16</v>
      </c>
      <c r="O52" t="s">
        <v>17</v>
      </c>
      <c r="P52" t="s">
        <v>16</v>
      </c>
    </row>
    <row r="53" spans="1:65" x14ac:dyDescent="0.2">
      <c r="A53" s="20">
        <v>2452020983</v>
      </c>
      <c r="B53" s="3" t="s">
        <v>67</v>
      </c>
      <c r="C53">
        <f t="shared" si="0"/>
        <v>76</v>
      </c>
      <c r="D53" t="s">
        <v>17</v>
      </c>
      <c r="E53" t="s">
        <v>17</v>
      </c>
      <c r="F53" t="s">
        <v>16</v>
      </c>
      <c r="G53" t="s">
        <v>16</v>
      </c>
      <c r="H53" t="s">
        <v>16</v>
      </c>
      <c r="I53" t="s">
        <v>16</v>
      </c>
      <c r="J53" t="s">
        <v>16</v>
      </c>
      <c r="K53" t="s">
        <v>17</v>
      </c>
      <c r="L53" t="s">
        <v>16</v>
      </c>
      <c r="M53" t="s">
        <v>16</v>
      </c>
      <c r="N53" t="s">
        <v>17</v>
      </c>
      <c r="O53" t="s">
        <v>17</v>
      </c>
      <c r="P53" t="s">
        <v>16</v>
      </c>
    </row>
    <row r="54" spans="1:65" x14ac:dyDescent="0.2">
      <c r="A54" s="20">
        <v>2452021017</v>
      </c>
      <c r="B54" s="3" t="s">
        <v>68</v>
      </c>
      <c r="C54">
        <f t="shared" si="0"/>
        <v>67</v>
      </c>
      <c r="D54" t="s">
        <v>17</v>
      </c>
      <c r="E54" t="s">
        <v>17</v>
      </c>
      <c r="F54" t="s">
        <v>16</v>
      </c>
      <c r="G54" t="s">
        <v>16</v>
      </c>
      <c r="H54" t="s">
        <v>16</v>
      </c>
      <c r="I54" t="s">
        <v>16</v>
      </c>
      <c r="J54" t="s">
        <v>16</v>
      </c>
      <c r="K54" t="s">
        <v>16</v>
      </c>
      <c r="L54" t="s">
        <v>16</v>
      </c>
      <c r="M54" t="s">
        <v>16</v>
      </c>
      <c r="N54" t="s">
        <v>16</v>
      </c>
      <c r="O54" t="s">
        <v>16</v>
      </c>
      <c r="P54" t="s">
        <v>16</v>
      </c>
    </row>
    <row r="55" spans="1:65" x14ac:dyDescent="0.2">
      <c r="A55" s="20">
        <v>2452021026</v>
      </c>
      <c r="B55" s="3" t="s">
        <v>69</v>
      </c>
      <c r="C55">
        <f t="shared" si="0"/>
        <v>67</v>
      </c>
      <c r="D55" t="s">
        <v>17</v>
      </c>
      <c r="E55" t="s">
        <v>17</v>
      </c>
      <c r="F55" t="s">
        <v>16</v>
      </c>
      <c r="G55" t="s">
        <v>16</v>
      </c>
      <c r="H55" t="s">
        <v>16</v>
      </c>
      <c r="I55" t="s">
        <v>16</v>
      </c>
      <c r="J55" t="s">
        <v>16</v>
      </c>
      <c r="K55" t="s">
        <v>16</v>
      </c>
      <c r="L55" t="s">
        <v>16</v>
      </c>
      <c r="M55" t="s">
        <v>16</v>
      </c>
      <c r="N55" t="s">
        <v>16</v>
      </c>
      <c r="O55" t="s">
        <v>16</v>
      </c>
      <c r="P55" t="s">
        <v>16</v>
      </c>
    </row>
    <row r="56" spans="1:65" x14ac:dyDescent="0.2">
      <c r="A56" s="20">
        <v>2452021389</v>
      </c>
      <c r="B56" s="3" t="s">
        <v>70</v>
      </c>
      <c r="C56">
        <f t="shared" si="0"/>
        <v>61</v>
      </c>
      <c r="D56" t="s">
        <v>16</v>
      </c>
      <c r="E56" t="s">
        <v>16</v>
      </c>
      <c r="F56" t="s">
        <v>16</v>
      </c>
      <c r="G56" t="s">
        <v>16</v>
      </c>
      <c r="H56" t="s">
        <v>16</v>
      </c>
      <c r="I56" t="s">
        <v>16</v>
      </c>
      <c r="J56" t="s">
        <v>16</v>
      </c>
      <c r="K56" t="s">
        <v>16</v>
      </c>
      <c r="L56" t="s">
        <v>16</v>
      </c>
      <c r="M56" t="s">
        <v>16</v>
      </c>
      <c r="N56" t="s">
        <v>16</v>
      </c>
      <c r="O56" t="s">
        <v>16</v>
      </c>
      <c r="P56" t="s">
        <v>16</v>
      </c>
    </row>
    <row r="57" spans="1:65" x14ac:dyDescent="0.2">
      <c r="A57" s="20">
        <v>2452021400</v>
      </c>
      <c r="B57" s="3" t="s">
        <v>71</v>
      </c>
      <c r="C57">
        <f t="shared" si="0"/>
        <v>64</v>
      </c>
      <c r="D57" t="s">
        <v>16</v>
      </c>
      <c r="E57" t="s">
        <v>16</v>
      </c>
      <c r="F57" t="s">
        <v>16</v>
      </c>
      <c r="G57" t="s">
        <v>16</v>
      </c>
      <c r="H57" t="s">
        <v>16</v>
      </c>
      <c r="I57" t="s">
        <v>17</v>
      </c>
      <c r="J57" t="s">
        <v>16</v>
      </c>
      <c r="K57" t="s">
        <v>16</v>
      </c>
      <c r="L57" t="s">
        <v>16</v>
      </c>
      <c r="M57" t="s">
        <v>16</v>
      </c>
      <c r="N57" t="s">
        <v>16</v>
      </c>
      <c r="O57" t="s">
        <v>16</v>
      </c>
      <c r="P57" t="s">
        <v>16</v>
      </c>
    </row>
    <row r="58" spans="1:65" x14ac:dyDescent="0.2">
      <c r="A58" s="12"/>
      <c r="B58" s="12"/>
    </row>
    <row r="59" spans="1:65" ht="78" customHeight="1" x14ac:dyDescent="0.2">
      <c r="D59">
        <f t="shared" ref="D59:AU59" si="1">COUNTIF(D3:D57,"×")</f>
        <v>20</v>
      </c>
      <c r="E59">
        <f t="shared" si="1"/>
        <v>26</v>
      </c>
      <c r="F59">
        <f t="shared" si="1"/>
        <v>28</v>
      </c>
      <c r="G59">
        <f t="shared" si="1"/>
        <v>28</v>
      </c>
      <c r="H59">
        <f t="shared" si="1"/>
        <v>40</v>
      </c>
      <c r="I59">
        <f t="shared" si="1"/>
        <v>30</v>
      </c>
      <c r="J59">
        <f t="shared" si="1"/>
        <v>41</v>
      </c>
      <c r="K59">
        <f t="shared" si="1"/>
        <v>37</v>
      </c>
      <c r="L59">
        <f t="shared" si="1"/>
        <v>40</v>
      </c>
      <c r="M59">
        <f t="shared" si="1"/>
        <v>53</v>
      </c>
      <c r="N59">
        <f t="shared" si="1"/>
        <v>35</v>
      </c>
      <c r="O59">
        <f t="shared" si="1"/>
        <v>30</v>
      </c>
      <c r="P59">
        <f t="shared" si="1"/>
        <v>40</v>
      </c>
      <c r="Q59">
        <f t="shared" si="1"/>
        <v>0</v>
      </c>
      <c r="R59">
        <f t="shared" si="1"/>
        <v>0</v>
      </c>
      <c r="S59">
        <f t="shared" si="1"/>
        <v>0</v>
      </c>
      <c r="T59">
        <f t="shared" si="1"/>
        <v>0</v>
      </c>
      <c r="U59">
        <f t="shared" si="1"/>
        <v>0</v>
      </c>
      <c r="V59">
        <f t="shared" si="1"/>
        <v>0</v>
      </c>
      <c r="W59">
        <f t="shared" si="1"/>
        <v>0</v>
      </c>
      <c r="X59">
        <f t="shared" si="1"/>
        <v>0</v>
      </c>
      <c r="Y59">
        <f t="shared" si="1"/>
        <v>0</v>
      </c>
      <c r="Z59">
        <f t="shared" si="1"/>
        <v>0</v>
      </c>
      <c r="AA59">
        <f t="shared" si="1"/>
        <v>0</v>
      </c>
      <c r="AB59">
        <f t="shared" si="1"/>
        <v>0</v>
      </c>
      <c r="AC59">
        <f t="shared" si="1"/>
        <v>0</v>
      </c>
      <c r="AD59">
        <f t="shared" si="1"/>
        <v>0</v>
      </c>
      <c r="AE59">
        <f t="shared" si="1"/>
        <v>0</v>
      </c>
      <c r="AF59">
        <f t="shared" si="1"/>
        <v>0</v>
      </c>
      <c r="AG59">
        <f t="shared" si="1"/>
        <v>0</v>
      </c>
      <c r="AH59">
        <f t="shared" si="1"/>
        <v>0</v>
      </c>
      <c r="AI59">
        <f t="shared" si="1"/>
        <v>0</v>
      </c>
      <c r="AJ59">
        <f t="shared" si="1"/>
        <v>0</v>
      </c>
      <c r="AK59">
        <f t="shared" si="1"/>
        <v>0</v>
      </c>
      <c r="AL59">
        <f t="shared" si="1"/>
        <v>0</v>
      </c>
      <c r="AM59">
        <f t="shared" si="1"/>
        <v>0</v>
      </c>
      <c r="AN59">
        <f t="shared" si="1"/>
        <v>0</v>
      </c>
      <c r="AO59">
        <f t="shared" si="1"/>
        <v>0</v>
      </c>
      <c r="AP59">
        <f t="shared" si="1"/>
        <v>0</v>
      </c>
      <c r="AQ59">
        <f t="shared" si="1"/>
        <v>0</v>
      </c>
      <c r="AR59">
        <f t="shared" si="1"/>
        <v>0</v>
      </c>
      <c r="AS59">
        <f t="shared" si="1"/>
        <v>0</v>
      </c>
      <c r="AT59">
        <f t="shared" si="1"/>
        <v>0</v>
      </c>
      <c r="AU59">
        <f t="shared" si="1"/>
        <v>0</v>
      </c>
      <c r="AV59">
        <f t="shared" ref="AV59:BM59" si="2">COUNTIF(AV3:AV43,"×")</f>
        <v>0</v>
      </c>
      <c r="AW59">
        <f t="shared" si="2"/>
        <v>0</v>
      </c>
      <c r="AX59">
        <f t="shared" si="2"/>
        <v>0</v>
      </c>
      <c r="AY59">
        <f t="shared" si="2"/>
        <v>0</v>
      </c>
      <c r="AZ59">
        <f t="shared" si="2"/>
        <v>0</v>
      </c>
      <c r="BA59">
        <f t="shared" si="2"/>
        <v>0</v>
      </c>
      <c r="BB59">
        <f t="shared" si="2"/>
        <v>0</v>
      </c>
      <c r="BC59">
        <f t="shared" si="2"/>
        <v>0</v>
      </c>
      <c r="BD59">
        <f t="shared" si="2"/>
        <v>0</v>
      </c>
      <c r="BE59">
        <f t="shared" si="2"/>
        <v>0</v>
      </c>
      <c r="BF59">
        <f t="shared" si="2"/>
        <v>0</v>
      </c>
      <c r="BG59">
        <f t="shared" si="2"/>
        <v>0</v>
      </c>
      <c r="BH59">
        <f t="shared" si="2"/>
        <v>0</v>
      </c>
      <c r="BI59">
        <f t="shared" si="2"/>
        <v>0</v>
      </c>
      <c r="BJ59">
        <f t="shared" si="2"/>
        <v>0</v>
      </c>
      <c r="BK59">
        <f t="shared" si="2"/>
        <v>0</v>
      </c>
      <c r="BL59">
        <f t="shared" si="2"/>
        <v>0</v>
      </c>
      <c r="BM59">
        <f t="shared" si="2"/>
        <v>0</v>
      </c>
    </row>
    <row r="61" spans="1:65" ht="30" x14ac:dyDescent="0.4">
      <c r="H61" s="25" t="s">
        <v>72</v>
      </c>
      <c r="I61" s="26"/>
      <c r="J61" s="26"/>
      <c r="K61" s="26"/>
      <c r="L61" s="26"/>
      <c r="M61" s="26"/>
      <c r="N61" s="26"/>
      <c r="O61" s="26"/>
    </row>
  </sheetData>
  <mergeCells count="4">
    <mergeCell ref="H61:O61"/>
    <mergeCell ref="A1:A2"/>
    <mergeCell ref="B1:B2"/>
    <mergeCell ref="C1:C2"/>
  </mergeCells>
  <phoneticPr fontId="14" type="noConversion"/>
  <conditionalFormatting sqref="C58:C1048576 C1:C2">
    <cfRule type="colorScale" priority="7">
      <colorScale>
        <cfvo type="percentile" val="20"/>
        <cfvo type="percent" val="10"/>
        <color rgb="FFFF7128"/>
        <color theme="9"/>
      </colorScale>
    </cfRule>
  </conditionalFormatting>
  <conditionalFormatting sqref="C3:C57 B46">
    <cfRule type="colorScale" priority="1">
      <colorScale>
        <cfvo type="percentile" val="20"/>
        <cfvo type="percent" val="10"/>
        <color rgb="FFFF7128"/>
        <color theme="9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25" x14ac:dyDescent="0.2"/>
  <sheetData/>
  <phoneticPr fontId="1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2"/>
  <sheetViews>
    <sheetView workbookViewId="0">
      <selection sqref="A1:I12"/>
    </sheetView>
  </sheetViews>
  <sheetFormatPr defaultColWidth="9" defaultRowHeight="14.25" x14ac:dyDescent="0.2"/>
  <sheetData>
    <row r="1" spans="1:9" x14ac:dyDescent="0.2">
      <c r="A1" s="30" t="s">
        <v>73</v>
      </c>
      <c r="B1" s="31"/>
      <c r="C1" s="31"/>
      <c r="D1" s="31"/>
      <c r="E1" s="31"/>
      <c r="F1" s="31"/>
      <c r="G1" s="31"/>
      <c r="H1" s="31"/>
      <c r="I1" s="31"/>
    </row>
    <row r="2" spans="1:9" x14ac:dyDescent="0.2">
      <c r="A2" s="31"/>
      <c r="B2" s="31"/>
      <c r="C2" s="31"/>
      <c r="D2" s="31"/>
      <c r="E2" s="31"/>
      <c r="F2" s="31"/>
      <c r="G2" s="31"/>
      <c r="H2" s="31"/>
      <c r="I2" s="31"/>
    </row>
    <row r="3" spans="1:9" x14ac:dyDescent="0.2">
      <c r="A3" s="31"/>
      <c r="B3" s="31"/>
      <c r="C3" s="31"/>
      <c r="D3" s="31"/>
      <c r="E3" s="31"/>
      <c r="F3" s="31"/>
      <c r="G3" s="31"/>
      <c r="H3" s="31"/>
      <c r="I3" s="31"/>
    </row>
    <row r="4" spans="1:9" x14ac:dyDescent="0.2">
      <c r="A4" s="31"/>
      <c r="B4" s="31"/>
      <c r="C4" s="31"/>
      <c r="D4" s="31"/>
      <c r="E4" s="31"/>
      <c r="F4" s="31"/>
      <c r="G4" s="31"/>
      <c r="H4" s="31"/>
      <c r="I4" s="31"/>
    </row>
    <row r="5" spans="1:9" x14ac:dyDescent="0.2">
      <c r="A5" s="31"/>
      <c r="B5" s="31"/>
      <c r="C5" s="31"/>
      <c r="D5" s="31"/>
      <c r="E5" s="31"/>
      <c r="F5" s="31"/>
      <c r="G5" s="31"/>
      <c r="H5" s="31"/>
      <c r="I5" s="31"/>
    </row>
    <row r="6" spans="1:9" x14ac:dyDescent="0.2">
      <c r="A6" s="31"/>
      <c r="B6" s="31"/>
      <c r="C6" s="31"/>
      <c r="D6" s="31"/>
      <c r="E6" s="31"/>
      <c r="F6" s="31"/>
      <c r="G6" s="31"/>
      <c r="H6" s="31"/>
      <c r="I6" s="31"/>
    </row>
    <row r="7" spans="1:9" x14ac:dyDescent="0.2">
      <c r="A7" s="31"/>
      <c r="B7" s="31"/>
      <c r="C7" s="31"/>
      <c r="D7" s="31"/>
      <c r="E7" s="31"/>
      <c r="F7" s="31"/>
      <c r="G7" s="31"/>
      <c r="H7" s="31"/>
      <c r="I7" s="31"/>
    </row>
    <row r="8" spans="1:9" x14ac:dyDescent="0.2">
      <c r="A8" s="31"/>
      <c r="B8" s="31"/>
      <c r="C8" s="31"/>
      <c r="D8" s="31"/>
      <c r="E8" s="31"/>
      <c r="F8" s="31"/>
      <c r="G8" s="31"/>
      <c r="H8" s="31"/>
      <c r="I8" s="31"/>
    </row>
    <row r="9" spans="1:9" x14ac:dyDescent="0.2">
      <c r="A9" s="31"/>
      <c r="B9" s="31"/>
      <c r="C9" s="31"/>
      <c r="D9" s="31"/>
      <c r="E9" s="31"/>
      <c r="F9" s="31"/>
      <c r="G9" s="31"/>
      <c r="H9" s="31"/>
      <c r="I9" s="31"/>
    </row>
    <row r="10" spans="1:9" x14ac:dyDescent="0.2">
      <c r="A10" s="31"/>
      <c r="B10" s="31"/>
      <c r="C10" s="31"/>
      <c r="D10" s="31"/>
      <c r="E10" s="31"/>
      <c r="F10" s="31"/>
      <c r="G10" s="31"/>
      <c r="H10" s="31"/>
      <c r="I10" s="31"/>
    </row>
    <row r="11" spans="1:9" x14ac:dyDescent="0.2">
      <c r="A11" s="31"/>
      <c r="B11" s="31"/>
      <c r="C11" s="31"/>
      <c r="D11" s="31"/>
      <c r="E11" s="31"/>
      <c r="F11" s="31"/>
      <c r="G11" s="31"/>
      <c r="H11" s="31"/>
      <c r="I11" s="31"/>
    </row>
    <row r="12" spans="1:9" x14ac:dyDescent="0.2">
      <c r="A12" s="31"/>
      <c r="B12" s="31"/>
      <c r="C12" s="31"/>
      <c r="D12" s="31"/>
      <c r="E12" s="31"/>
      <c r="F12" s="31"/>
      <c r="G12" s="31"/>
      <c r="H12" s="31"/>
      <c r="I12" s="31"/>
    </row>
  </sheetData>
  <mergeCells count="1">
    <mergeCell ref="A1:I12"/>
  </mergeCells>
  <phoneticPr fontId="1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1"/>
  <sheetViews>
    <sheetView tabSelected="1" workbookViewId="0">
      <selection activeCell="C4" sqref="C4"/>
    </sheetView>
  </sheetViews>
  <sheetFormatPr defaultColWidth="9" defaultRowHeight="14.25" x14ac:dyDescent="0.2"/>
  <cols>
    <col min="1" max="1" width="15.125" customWidth="1"/>
  </cols>
  <sheetData>
    <row r="1" spans="1:13" x14ac:dyDescent="0.2">
      <c r="A1" s="32"/>
      <c r="B1" s="26"/>
      <c r="C1" s="26"/>
      <c r="D1" s="26"/>
      <c r="E1" s="26"/>
    </row>
    <row r="2" spans="1:13" s="1" customFormat="1" ht="15" thickBot="1" x14ac:dyDescent="0.25">
      <c r="A2" s="1" t="s">
        <v>74</v>
      </c>
      <c r="B2" s="1" t="s">
        <v>75</v>
      </c>
      <c r="C2" s="33" t="s">
        <v>77</v>
      </c>
    </row>
    <row r="3" spans="1:13" s="2" customFormat="1" ht="15" thickBot="1" x14ac:dyDescent="0.25">
      <c r="A3" s="3" t="s">
        <v>15</v>
      </c>
      <c r="B3" s="3" t="s">
        <v>19</v>
      </c>
      <c r="C3" s="3" t="s">
        <v>23</v>
      </c>
      <c r="D3" s="4"/>
      <c r="E3" s="4"/>
      <c r="F3" s="5"/>
      <c r="G3" s="6"/>
      <c r="H3" s="7"/>
      <c r="I3" s="12"/>
      <c r="J3" s="12"/>
      <c r="K3" s="6"/>
      <c r="L3" s="11"/>
      <c r="M3" s="11"/>
    </row>
    <row r="4" spans="1:13" ht="15" thickBot="1" x14ac:dyDescent="0.25">
      <c r="A4" s="3" t="s">
        <v>18</v>
      </c>
      <c r="B4" s="3" t="s">
        <v>21</v>
      </c>
      <c r="C4" s="3" t="s">
        <v>25</v>
      </c>
      <c r="D4" s="8"/>
      <c r="E4" s="4"/>
      <c r="F4" s="6"/>
      <c r="G4" s="9"/>
      <c r="H4" s="9"/>
      <c r="I4" s="6"/>
      <c r="J4" s="6"/>
      <c r="K4" s="6"/>
      <c r="L4" s="12"/>
      <c r="M4" s="12"/>
    </row>
    <row r="5" spans="1:13" ht="15" thickBot="1" x14ac:dyDescent="0.25">
      <c r="A5" s="3" t="s">
        <v>20</v>
      </c>
      <c r="B5" s="10"/>
      <c r="C5" s="5"/>
      <c r="D5" s="11"/>
      <c r="E5" s="4"/>
      <c r="F5" s="5"/>
      <c r="G5" s="4"/>
      <c r="H5" s="7"/>
      <c r="I5" s="11"/>
      <c r="J5" s="12"/>
      <c r="K5" s="9"/>
      <c r="L5" s="11"/>
      <c r="M5" s="11"/>
    </row>
    <row r="6" spans="1:13" x14ac:dyDescent="0.2">
      <c r="A6" s="7"/>
      <c r="B6" s="4"/>
      <c r="C6" s="6"/>
      <c r="D6" s="12"/>
      <c r="E6" s="6"/>
      <c r="F6" s="4"/>
      <c r="G6" s="5"/>
      <c r="H6" s="10"/>
      <c r="I6" s="12"/>
      <c r="J6" s="6"/>
      <c r="K6" s="6"/>
      <c r="L6" s="12"/>
      <c r="M6" s="12"/>
    </row>
    <row r="7" spans="1:13" x14ac:dyDescent="0.2">
      <c r="A7" s="10"/>
      <c r="C7" s="5"/>
      <c r="D7" s="11"/>
      <c r="E7" s="11"/>
      <c r="F7" s="5"/>
      <c r="G7" s="4"/>
      <c r="H7" s="7"/>
      <c r="I7" s="11"/>
      <c r="J7" s="12"/>
      <c r="K7" s="9"/>
      <c r="M7" s="12"/>
    </row>
    <row r="8" spans="1:13" x14ac:dyDescent="0.2">
      <c r="A8" s="4"/>
      <c r="B8" s="4"/>
      <c r="D8" s="5"/>
      <c r="E8" s="9"/>
      <c r="G8" s="5"/>
      <c r="H8" s="12"/>
      <c r="J8" s="13"/>
      <c r="K8" s="6"/>
    </row>
    <row r="9" spans="1:13" x14ac:dyDescent="0.2">
      <c r="A9" s="10"/>
      <c r="D9" s="4"/>
      <c r="E9" s="4"/>
      <c r="H9" s="13"/>
      <c r="J9" s="12"/>
      <c r="K9" s="6"/>
    </row>
    <row r="10" spans="1:13" x14ac:dyDescent="0.2">
      <c r="A10" s="4"/>
      <c r="D10" s="9"/>
      <c r="E10" s="5"/>
      <c r="H10" s="14"/>
      <c r="K10" s="6"/>
    </row>
    <row r="11" spans="1:13" x14ac:dyDescent="0.2">
      <c r="A11" s="14"/>
      <c r="D11" s="6"/>
      <c r="H11" s="11"/>
      <c r="K11" s="9"/>
    </row>
    <row r="12" spans="1:13" x14ac:dyDescent="0.2">
      <c r="A12" s="4"/>
      <c r="D12" s="15"/>
      <c r="K12" s="6"/>
    </row>
    <row r="13" spans="1:13" x14ac:dyDescent="0.2">
      <c r="A13" s="10"/>
      <c r="D13" s="4"/>
      <c r="K13" s="12"/>
    </row>
    <row r="14" spans="1:13" x14ac:dyDescent="0.2">
      <c r="D14" s="5"/>
      <c r="K14" s="6"/>
    </row>
    <row r="15" spans="1:13" x14ac:dyDescent="0.2">
      <c r="D15" s="6"/>
      <c r="K15" s="9"/>
    </row>
    <row r="16" spans="1:13" x14ac:dyDescent="0.2">
      <c r="D16" s="9"/>
      <c r="K16" s="6"/>
    </row>
    <row r="17" spans="4:11" x14ac:dyDescent="0.2">
      <c r="D17" s="4"/>
      <c r="K17" s="9"/>
    </row>
    <row r="18" spans="4:11" x14ac:dyDescent="0.2">
      <c r="D18" s="5"/>
      <c r="K18" s="6"/>
    </row>
    <row r="19" spans="4:11" x14ac:dyDescent="0.2">
      <c r="K19" s="9"/>
    </row>
    <row r="20" spans="4:11" x14ac:dyDescent="0.2">
      <c r="K20" s="6"/>
    </row>
    <row r="21" spans="4:11" x14ac:dyDescent="0.2">
      <c r="K21" s="9"/>
    </row>
    <row r="22" spans="4:11" x14ac:dyDescent="0.2">
      <c r="K22" s="6"/>
    </row>
    <row r="23" spans="4:11" x14ac:dyDescent="0.2">
      <c r="K23" s="9"/>
    </row>
    <row r="24" spans="4:11" x14ac:dyDescent="0.2">
      <c r="K24" s="11"/>
    </row>
    <row r="25" spans="4:11" x14ac:dyDescent="0.2">
      <c r="K25" s="9"/>
    </row>
    <row r="26" spans="4:11" x14ac:dyDescent="0.2">
      <c r="K26" s="6"/>
    </row>
    <row r="27" spans="4:11" x14ac:dyDescent="0.2">
      <c r="K27" s="9"/>
    </row>
    <row r="28" spans="4:11" x14ac:dyDescent="0.2">
      <c r="K28" s="6"/>
    </row>
    <row r="29" spans="4:11" x14ac:dyDescent="0.2">
      <c r="K29" s="8"/>
    </row>
    <row r="30" spans="4:11" x14ac:dyDescent="0.2">
      <c r="K30" s="9"/>
    </row>
    <row r="31" spans="4:11" x14ac:dyDescent="0.2">
      <c r="K31" s="11"/>
    </row>
  </sheetData>
  <mergeCells count="1">
    <mergeCell ref="A1:E1"/>
  </mergeCells>
  <phoneticPr fontId="1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考勤</vt:lpstr>
      <vt:lpstr>上机</vt:lpstr>
      <vt:lpstr>联系辅导员</vt:lpstr>
      <vt:lpstr>打扫卫生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2015-06-05T18:19:00Z</dcterms:created>
  <dcterms:modified xsi:type="dcterms:W3CDTF">2026-04-13T00:58:37Z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A6CF684F5C0D4175B8EA4F1C2B122092_13</vt:lpwstr>
  </property>
  <property fmtid="{D5CDD505-2E9C-101B-9397-08002B2CF9AE}" pid="3" name="KSOProductBuildVer">
    <vt:lpwstr>2052-11.1.0.10009</vt:lpwstr>
  </property>
</Properties>
</file>