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2026\教学\4班\"/>
    </mc:Choice>
  </mc:AlternateContent>
  <bookViews>
    <workbookView xWindow="0" yWindow="0" windowWidth="28800" windowHeight="12375"/>
  </bookViews>
  <sheets>
    <sheet name="考勤" sheetId="3" r:id="rId1"/>
    <sheet name="上机" sheetId="6" r:id="rId2"/>
    <sheet name="实验报告" sheetId="5" r:id="rId3"/>
    <sheet name="打扫卫生" sheetId="4" r:id="rId4"/>
  </sheets>
  <calcPr calcId="162913"/>
</workbook>
</file>

<file path=xl/calcChain.xml><?xml version="1.0" encoding="utf-8"?>
<calcChain xmlns="http://schemas.openxmlformats.org/spreadsheetml/2006/main">
  <c r="E65" i="3" l="1"/>
  <c r="F65" i="3"/>
  <c r="G65" i="3"/>
  <c r="H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V65" i="3"/>
  <c r="W65" i="3"/>
  <c r="X65" i="3"/>
  <c r="Y65" i="3"/>
  <c r="Z65" i="3"/>
  <c r="AA65" i="3"/>
  <c r="AB65" i="3"/>
  <c r="AC65" i="3"/>
  <c r="AD65" i="3"/>
  <c r="AE65" i="3"/>
  <c r="AF65" i="3"/>
  <c r="AG65" i="3"/>
  <c r="AH65" i="3"/>
  <c r="AI65" i="3"/>
  <c r="AJ65" i="3"/>
  <c r="AK65" i="3"/>
  <c r="AL65" i="3"/>
  <c r="AM65" i="3"/>
  <c r="AN65" i="3"/>
  <c r="AO65" i="3"/>
  <c r="AP65" i="3"/>
  <c r="AQ65" i="3"/>
  <c r="AR65" i="3"/>
  <c r="AS65" i="3"/>
  <c r="AT65" i="3"/>
  <c r="AU65" i="3"/>
  <c r="AV65" i="3"/>
  <c r="AW65" i="3"/>
  <c r="AX65" i="3"/>
  <c r="AY65" i="3"/>
  <c r="AZ65" i="3"/>
  <c r="BA65" i="3"/>
  <c r="BB65" i="3"/>
  <c r="BC65" i="3"/>
  <c r="BD65" i="3"/>
  <c r="BE65" i="3"/>
  <c r="BF65" i="3"/>
  <c r="BG65" i="3"/>
  <c r="BH65" i="3"/>
  <c r="BI65" i="3"/>
  <c r="BJ65" i="3"/>
  <c r="BK65" i="3"/>
  <c r="BL65" i="3"/>
  <c r="BM65" i="3"/>
  <c r="D65" i="3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</calcChain>
</file>

<file path=xl/sharedStrings.xml><?xml version="1.0" encoding="utf-8"?>
<sst xmlns="http://schemas.openxmlformats.org/spreadsheetml/2006/main" count="236" uniqueCount="114">
  <si>
    <t>学号</t>
  </si>
  <si>
    <t>姓名</t>
  </si>
  <si>
    <t>成绩</t>
  </si>
  <si>
    <t>黄泽屿</t>
  </si>
  <si>
    <t>×</t>
  </si>
  <si>
    <t>柳世康</t>
  </si>
  <si>
    <t>√</t>
  </si>
  <si>
    <t>许文峥</t>
  </si>
  <si>
    <t>何明瀚</t>
  </si>
  <si>
    <t>王鹏超</t>
  </si>
  <si>
    <t>曹勇超</t>
  </si>
  <si>
    <t>陈凯文</t>
  </si>
  <si>
    <t>刘博文</t>
  </si>
  <si>
    <t>赵一鸣</t>
  </si>
  <si>
    <t>李明赫</t>
  </si>
  <si>
    <t>范成鑫</t>
  </si>
  <si>
    <t>王元铎</t>
  </si>
  <si>
    <t>王鑫</t>
  </si>
  <si>
    <t>张岳阳</t>
  </si>
  <si>
    <t>曹国良</t>
  </si>
  <si>
    <t>臧晓雨</t>
  </si>
  <si>
    <t>石凤菲</t>
  </si>
  <si>
    <t>彭轩</t>
  </si>
  <si>
    <t>李进珠</t>
  </si>
  <si>
    <t>王琪择</t>
  </si>
  <si>
    <t>陈佳</t>
  </si>
  <si>
    <t>陈思嘉</t>
  </si>
  <si>
    <t>匡胤飞</t>
  </si>
  <si>
    <t>李星宇</t>
  </si>
  <si>
    <t>朱涵宇</t>
  </si>
  <si>
    <t>王文豪</t>
  </si>
  <si>
    <t>李士臻</t>
  </si>
  <si>
    <t>吴志超</t>
  </si>
  <si>
    <t>徐若桐</t>
  </si>
  <si>
    <t>郭庆博</t>
  </si>
  <si>
    <t>王昊阳</t>
  </si>
  <si>
    <t>王保亓</t>
  </si>
  <si>
    <t>赵鑫泽</t>
  </si>
  <si>
    <t>李博闻</t>
  </si>
  <si>
    <t>吕孟德</t>
  </si>
  <si>
    <t>陈展鹏</t>
  </si>
  <si>
    <t>刘姝杞</t>
  </si>
  <si>
    <t>葛名正</t>
  </si>
  <si>
    <t>李玟锋</t>
  </si>
  <si>
    <t>陈卓林</t>
  </si>
  <si>
    <t>李庆嘉</t>
  </si>
  <si>
    <t>刘晓钊</t>
  </si>
  <si>
    <t>刘瑞宝</t>
  </si>
  <si>
    <t>李欣悦</t>
  </si>
  <si>
    <t>许城瑞</t>
  </si>
  <si>
    <t>刘志祥</t>
  </si>
  <si>
    <t>张育硕</t>
  </si>
  <si>
    <t>李庆琳</t>
  </si>
  <si>
    <t>杨玉福</t>
  </si>
  <si>
    <t>周宇涵</t>
  </si>
  <si>
    <t>张浩男</t>
  </si>
  <si>
    <t>尚振稳</t>
  </si>
  <si>
    <t>王国建</t>
  </si>
  <si>
    <t>姜岸君</t>
  </si>
  <si>
    <t>张维宇</t>
  </si>
  <si>
    <t>杨雨晴</t>
  </si>
  <si>
    <t>李锦程</t>
  </si>
  <si>
    <t>王浩宇</t>
  </si>
  <si>
    <t>周冠辰</t>
  </si>
  <si>
    <t>宋志佳</t>
  </si>
  <si>
    <t>李家成</t>
  </si>
  <si>
    <t>√、正常、△、迟到、○早退、×缺勤</t>
  </si>
  <si>
    <t>李奥</t>
  </si>
  <si>
    <t>官长皓</t>
  </si>
  <si>
    <t>刘柯纬</t>
  </si>
  <si>
    <t>张智献</t>
  </si>
  <si>
    <t>肖笛</t>
  </si>
  <si>
    <t>宁佳怡</t>
  </si>
  <si>
    <t>宋端祥</t>
  </si>
  <si>
    <t>孙赫</t>
  </si>
  <si>
    <t>高顼研</t>
  </si>
  <si>
    <t>周欣慧</t>
  </si>
  <si>
    <t>孔繁浩</t>
  </si>
  <si>
    <t>王淑雨</t>
  </si>
  <si>
    <t>刘建平</t>
  </si>
  <si>
    <t>李志远</t>
  </si>
  <si>
    <t>李雨欣</t>
  </si>
  <si>
    <t>江春阳</t>
  </si>
  <si>
    <t>黄一坤</t>
  </si>
  <si>
    <t>朱锦涛</t>
  </si>
  <si>
    <t>姜立敏</t>
  </si>
  <si>
    <t>张在满</t>
  </si>
  <si>
    <t>马圣涵</t>
  </si>
  <si>
    <t>孙蓓</t>
  </si>
  <si>
    <t>陈金腾</t>
  </si>
  <si>
    <t>王安达</t>
  </si>
  <si>
    <t>夹梦娅</t>
  </si>
  <si>
    <t>石文凯</t>
  </si>
  <si>
    <t>祁志一</t>
  </si>
  <si>
    <t>梁亚伟</t>
  </si>
  <si>
    <t>田光宁</t>
  </si>
  <si>
    <t>高明玉</t>
  </si>
  <si>
    <t>崔斐艳</t>
  </si>
  <si>
    <t>翟文铄</t>
  </si>
  <si>
    <t>刘佳鹏</t>
  </si>
  <si>
    <t>张婧</t>
  </si>
  <si>
    <t>王化坤</t>
  </si>
  <si>
    <t>刘存铎</t>
  </si>
  <si>
    <t>李有梁</t>
  </si>
  <si>
    <t>陈时</t>
  </si>
  <si>
    <t>于米朵</t>
  </si>
  <si>
    <t>张初晨</t>
  </si>
  <si>
    <t>刘倩惠</t>
  </si>
  <si>
    <t>张顺</t>
  </si>
  <si>
    <t>刘明义</t>
  </si>
  <si>
    <t>郝江涛</t>
  </si>
  <si>
    <t>侯明幸</t>
  </si>
  <si>
    <t>葛欣宇</t>
  </si>
  <si>
    <t>刘雨蒙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</si>
</sst>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 x14ac:knownFonts="1">
    <font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9"/>
      <color theme="9"/>
      <name val="Arial"/>
      <family val="2"/>
    </font>
    <font>
      <sz val="9"/>
      <color rgb="FFFF0000"/>
      <name val="Arial"/>
      <family val="2"/>
    </font>
    <font>
      <sz val="9"/>
      <color rgb="FF00B050"/>
      <name val="Arial"/>
      <family val="2"/>
    </font>
    <font>
      <sz val="9"/>
      <color theme="1"/>
      <name val="Arial"/>
      <family val="2"/>
    </font>
    <font>
      <sz val="9"/>
      <color rgb="FF333333"/>
      <name val="Arial"/>
      <family val="2"/>
    </font>
    <font>
      <sz val="9"/>
      <color theme="6" tint="0.39963988158818325"/>
      <name val="Arial"/>
      <family val="2"/>
    </font>
    <font>
      <sz val="9"/>
      <color rgb="FF333333"/>
      <name val="宋体"/>
      <charset val="134"/>
    </font>
    <font>
      <sz val="18"/>
      <color rgb="FFFF0000"/>
      <name val="等线"/>
      <charset val="134"/>
      <scheme val="minor"/>
    </font>
    <font>
      <sz val="11"/>
      <color theme="6" tint="0.39963988158818325"/>
      <name val="等线"/>
      <charset val="134"/>
      <scheme val="minor"/>
    </font>
    <font>
      <sz val="10.5"/>
      <color rgb="FF000000"/>
      <name val="Times New Roman"/>
      <family val="1"/>
    </font>
    <font>
      <sz val="10.5"/>
      <color rgb="FF000000"/>
      <name val="宋体"/>
      <charset val="134"/>
    </font>
    <font>
      <sz val="24"/>
      <color theme="1"/>
      <name val="等线"/>
      <charset val="134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</fills>
  <borders count="7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thick">
        <color rgb="FFDDDDDD"/>
      </bottom>
      <diagonal/>
    </border>
    <border>
      <left style="medium">
        <color rgb="FFDDDDDD"/>
      </left>
      <right/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/>
    </xf>
    <xf numFmtId="0" fontId="5" fillId="2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top"/>
    </xf>
    <xf numFmtId="0" fontId="6" fillId="3" borderId="1" xfId="0" applyFont="1" applyFill="1" applyBorder="1" applyAlignment="1">
      <alignment horizontal="left" vertical="top"/>
    </xf>
    <xf numFmtId="0" fontId="6" fillId="2" borderId="1" xfId="0" applyFont="1" applyFill="1" applyBorder="1" applyAlignment="1">
      <alignment horizontal="left" vertical="top"/>
    </xf>
    <xf numFmtId="0" fontId="5" fillId="3" borderId="1" xfId="0" applyFont="1" applyFill="1" applyBorder="1" applyAlignment="1">
      <alignment horizontal="left" vertical="top"/>
    </xf>
    <xf numFmtId="0" fontId="7" fillId="4" borderId="1" xfId="0" applyFont="1" applyFill="1" applyBorder="1" applyAlignment="1">
      <alignment horizontal="left" vertical="top"/>
    </xf>
    <xf numFmtId="0" fontId="7" fillId="2" borderId="1" xfId="0" applyFont="1" applyFill="1" applyBorder="1" applyAlignment="1">
      <alignment horizontal="left" vertical="top"/>
    </xf>
    <xf numFmtId="0" fontId="6" fillId="3" borderId="0" xfId="0" applyFont="1" applyFill="1" applyBorder="1" applyAlignment="1">
      <alignment horizontal="center" vertical="center"/>
    </xf>
    <xf numFmtId="0" fontId="8" fillId="3" borderId="0" xfId="0" applyFont="1" applyFill="1" applyBorder="1" applyAlignment="1">
      <alignment horizontal="center" vertical="center"/>
    </xf>
    <xf numFmtId="14" fontId="0" fillId="0" borderId="0" xfId="0" applyNumberFormat="1"/>
    <xf numFmtId="0" fontId="6" fillId="2" borderId="0" xfId="0" applyFont="1" applyFill="1" applyBorder="1" applyAlignment="1">
      <alignment horizontal="left" vertical="top"/>
    </xf>
    <xf numFmtId="0" fontId="9" fillId="0" borderId="0" xfId="0" applyFont="1"/>
    <xf numFmtId="0" fontId="10" fillId="0" borderId="0" xfId="0" applyFont="1"/>
    <xf numFmtId="0" fontId="11" fillId="0" borderId="5" xfId="0" applyFont="1" applyBorder="1" applyAlignment="1">
      <alignment horizontal="left" vertical="center" wrapText="1"/>
    </xf>
    <xf numFmtId="0" fontId="12" fillId="3" borderId="5" xfId="0" applyFont="1" applyFill="1" applyBorder="1" applyAlignment="1">
      <alignment horizontal="justify" vertical="center" wrapText="1"/>
    </xf>
    <xf numFmtId="0" fontId="11" fillId="0" borderId="5" xfId="0" applyFont="1" applyBorder="1" applyAlignment="1">
      <alignment horizontal="justify" vertical="center" wrapText="1"/>
    </xf>
    <xf numFmtId="0" fontId="11" fillId="0" borderId="6" xfId="0" applyFont="1" applyBorder="1" applyAlignment="1">
      <alignment horizontal="left" vertical="center" wrapText="1"/>
    </xf>
    <xf numFmtId="0" fontId="12" fillId="3" borderId="6" xfId="0" applyFont="1" applyFill="1" applyBorder="1" applyAlignment="1">
      <alignment horizontal="justify" vertical="center" wrapText="1"/>
    </xf>
    <xf numFmtId="49" fontId="0" fillId="0" borderId="0" xfId="0" applyNumberFormat="1"/>
    <xf numFmtId="0" fontId="0" fillId="0" borderId="0" xfId="0" applyFont="1"/>
    <xf numFmtId="0" fontId="13" fillId="0" borderId="0" xfId="0" applyFont="1" applyAlignment="1"/>
    <xf numFmtId="0" fontId="0" fillId="0" borderId="0" xfId="0" applyAlignment="1"/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Font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67"/>
  <sheetViews>
    <sheetView tabSelected="1" topLeftCell="A53" zoomScale="175" zoomScaleNormal="175" workbookViewId="0">
      <selection activeCell="E65" sqref="E65"/>
    </sheetView>
  </sheetViews>
  <sheetFormatPr defaultColWidth="9" defaultRowHeight="14.25" x14ac:dyDescent="0.2"/>
  <cols>
    <col min="1" max="1" width="11.75" customWidth="1"/>
  </cols>
  <sheetData>
    <row r="1" spans="1:34" x14ac:dyDescent="0.2">
      <c r="A1" s="29" t="s">
        <v>0</v>
      </c>
      <c r="B1" s="29" t="s">
        <v>1</v>
      </c>
      <c r="C1" s="31" t="s">
        <v>2</v>
      </c>
    </row>
    <row r="2" spans="1:34" x14ac:dyDescent="0.2">
      <c r="A2" s="30"/>
      <c r="B2" s="30"/>
      <c r="C2" s="31"/>
      <c r="D2">
        <v>3.06</v>
      </c>
      <c r="E2">
        <v>3.07</v>
      </c>
      <c r="O2" s="25"/>
      <c r="AF2" s="26"/>
      <c r="AH2" s="26"/>
    </row>
    <row r="3" spans="1:34" x14ac:dyDescent="0.2">
      <c r="A3" s="20">
        <v>2452020847</v>
      </c>
      <c r="B3" s="21" t="s">
        <v>3</v>
      </c>
      <c r="C3">
        <f>100-COUNTIF(D3:AZ3,"×")*3</f>
        <v>94</v>
      </c>
      <c r="D3" t="s">
        <v>4</v>
      </c>
      <c r="E3" t="s">
        <v>4</v>
      </c>
    </row>
    <row r="4" spans="1:34" x14ac:dyDescent="0.2">
      <c r="A4" s="22">
        <v>2452020850</v>
      </c>
      <c r="B4" s="21" t="s">
        <v>5</v>
      </c>
      <c r="C4">
        <f t="shared" ref="C4:C63" si="0">100-COUNTIF(D4:AZ4,"×")*3</f>
        <v>97</v>
      </c>
      <c r="D4" t="s">
        <v>6</v>
      </c>
      <c r="E4" t="s">
        <v>4</v>
      </c>
    </row>
    <row r="5" spans="1:34" x14ac:dyDescent="0.2">
      <c r="A5" s="22">
        <v>2452020851</v>
      </c>
      <c r="B5" s="21" t="s">
        <v>7</v>
      </c>
      <c r="C5">
        <f t="shared" si="0"/>
        <v>97</v>
      </c>
      <c r="D5" t="s">
        <v>6</v>
      </c>
      <c r="E5" t="s">
        <v>4</v>
      </c>
    </row>
    <row r="6" spans="1:34" x14ac:dyDescent="0.2">
      <c r="A6" s="22">
        <v>2452020852</v>
      </c>
      <c r="B6" s="21" t="s">
        <v>8</v>
      </c>
      <c r="C6">
        <f t="shared" si="0"/>
        <v>97</v>
      </c>
      <c r="D6" t="s">
        <v>6</v>
      </c>
      <c r="E6" t="s">
        <v>4</v>
      </c>
      <c r="Y6" s="26"/>
    </row>
    <row r="7" spans="1:34" x14ac:dyDescent="0.2">
      <c r="A7" s="22">
        <v>2452020854</v>
      </c>
      <c r="B7" s="21" t="s">
        <v>9</v>
      </c>
      <c r="C7">
        <f t="shared" si="0"/>
        <v>97</v>
      </c>
      <c r="D7" t="s">
        <v>6</v>
      </c>
      <c r="E7" t="s">
        <v>4</v>
      </c>
    </row>
    <row r="8" spans="1:34" x14ac:dyDescent="0.2">
      <c r="A8" s="22">
        <v>2452020855</v>
      </c>
      <c r="B8" s="21" t="s">
        <v>10</v>
      </c>
      <c r="C8">
        <f t="shared" si="0"/>
        <v>94</v>
      </c>
      <c r="D8" t="s">
        <v>4</v>
      </c>
      <c r="E8" t="s">
        <v>4</v>
      </c>
    </row>
    <row r="9" spans="1:34" x14ac:dyDescent="0.2">
      <c r="A9" s="22">
        <v>2452020858</v>
      </c>
      <c r="B9" s="21" t="s">
        <v>11</v>
      </c>
      <c r="C9">
        <f t="shared" si="0"/>
        <v>97</v>
      </c>
      <c r="D9" t="s">
        <v>6</v>
      </c>
      <c r="E9" t="s">
        <v>4</v>
      </c>
    </row>
    <row r="10" spans="1:34" x14ac:dyDescent="0.2">
      <c r="A10" s="22">
        <v>2452020859</v>
      </c>
      <c r="B10" s="21" t="s">
        <v>12</v>
      </c>
      <c r="C10">
        <f t="shared" si="0"/>
        <v>94</v>
      </c>
      <c r="D10" t="s">
        <v>4</v>
      </c>
      <c r="E10" t="s">
        <v>4</v>
      </c>
    </row>
    <row r="11" spans="1:34" x14ac:dyDescent="0.2">
      <c r="A11" s="22">
        <v>2452020863</v>
      </c>
      <c r="B11" s="21" t="s">
        <v>13</v>
      </c>
      <c r="C11">
        <f t="shared" si="0"/>
        <v>100</v>
      </c>
      <c r="D11" t="s">
        <v>6</v>
      </c>
      <c r="E11" t="s">
        <v>6</v>
      </c>
    </row>
    <row r="12" spans="1:34" x14ac:dyDescent="0.2">
      <c r="A12" s="22">
        <v>2452020864</v>
      </c>
      <c r="B12" s="21" t="s">
        <v>14</v>
      </c>
      <c r="C12">
        <f t="shared" si="0"/>
        <v>94</v>
      </c>
      <c r="D12" t="s">
        <v>4</v>
      </c>
      <c r="E12" t="s">
        <v>4</v>
      </c>
    </row>
    <row r="13" spans="1:34" x14ac:dyDescent="0.2">
      <c r="A13" s="22">
        <v>2452020865</v>
      </c>
      <c r="B13" s="21" t="s">
        <v>15</v>
      </c>
      <c r="C13">
        <f t="shared" si="0"/>
        <v>100</v>
      </c>
      <c r="D13" t="s">
        <v>6</v>
      </c>
      <c r="E13" t="s">
        <v>6</v>
      </c>
    </row>
    <row r="14" spans="1:34" x14ac:dyDescent="0.2">
      <c r="A14" s="22">
        <v>2452020867</v>
      </c>
      <c r="B14" s="21" t="s">
        <v>16</v>
      </c>
      <c r="C14">
        <f t="shared" si="0"/>
        <v>94</v>
      </c>
      <c r="D14" t="s">
        <v>4</v>
      </c>
      <c r="E14" t="s">
        <v>4</v>
      </c>
    </row>
    <row r="15" spans="1:34" x14ac:dyDescent="0.2">
      <c r="A15" s="22">
        <v>2452020869</v>
      </c>
      <c r="B15" s="21" t="s">
        <v>17</v>
      </c>
      <c r="C15">
        <f t="shared" si="0"/>
        <v>100</v>
      </c>
      <c r="D15" t="s">
        <v>6</v>
      </c>
      <c r="E15" t="s">
        <v>6</v>
      </c>
    </row>
    <row r="16" spans="1:34" x14ac:dyDescent="0.2">
      <c r="A16" s="20">
        <v>2452020870</v>
      </c>
      <c r="B16" s="21" t="s">
        <v>18</v>
      </c>
      <c r="C16">
        <f t="shared" si="0"/>
        <v>100</v>
      </c>
      <c r="D16" t="s">
        <v>6</v>
      </c>
      <c r="E16" t="s">
        <v>6</v>
      </c>
    </row>
    <row r="17" spans="1:35" x14ac:dyDescent="0.2">
      <c r="A17" s="22">
        <v>2452020873</v>
      </c>
      <c r="B17" s="21" t="s">
        <v>19</v>
      </c>
      <c r="C17">
        <f t="shared" si="0"/>
        <v>100</v>
      </c>
      <c r="D17" t="s">
        <v>6</v>
      </c>
      <c r="E17" t="s">
        <v>6</v>
      </c>
    </row>
    <row r="18" spans="1:35" x14ac:dyDescent="0.2">
      <c r="A18" s="22">
        <v>2452020877</v>
      </c>
      <c r="B18" s="21" t="s">
        <v>20</v>
      </c>
      <c r="C18">
        <f t="shared" si="0"/>
        <v>100</v>
      </c>
      <c r="D18" t="s">
        <v>6</v>
      </c>
      <c r="E18" t="s">
        <v>6</v>
      </c>
    </row>
    <row r="19" spans="1:35" x14ac:dyDescent="0.2">
      <c r="A19" s="22">
        <v>2452020878</v>
      </c>
      <c r="B19" s="21" t="s">
        <v>21</v>
      </c>
      <c r="C19">
        <f t="shared" si="0"/>
        <v>100</v>
      </c>
      <c r="D19" t="s">
        <v>6</v>
      </c>
      <c r="E19" t="s">
        <v>6</v>
      </c>
    </row>
    <row r="20" spans="1:35" x14ac:dyDescent="0.2">
      <c r="A20" s="22">
        <v>2452020879</v>
      </c>
      <c r="B20" s="21" t="s">
        <v>22</v>
      </c>
      <c r="C20">
        <f t="shared" si="0"/>
        <v>100</v>
      </c>
      <c r="D20" t="s">
        <v>6</v>
      </c>
      <c r="E20" t="s">
        <v>6</v>
      </c>
    </row>
    <row r="21" spans="1:35" x14ac:dyDescent="0.2">
      <c r="A21" s="22">
        <v>2452020881</v>
      </c>
      <c r="B21" s="21" t="s">
        <v>23</v>
      </c>
      <c r="C21">
        <f t="shared" si="0"/>
        <v>94</v>
      </c>
      <c r="D21" t="s">
        <v>4</v>
      </c>
      <c r="E21" t="s">
        <v>4</v>
      </c>
    </row>
    <row r="22" spans="1:35" x14ac:dyDescent="0.2">
      <c r="A22" s="22">
        <v>2452020882</v>
      </c>
      <c r="B22" s="21" t="s">
        <v>24</v>
      </c>
      <c r="C22">
        <f t="shared" si="0"/>
        <v>94</v>
      </c>
      <c r="D22" t="s">
        <v>4</v>
      </c>
      <c r="E22" t="s">
        <v>4</v>
      </c>
    </row>
    <row r="23" spans="1:35" x14ac:dyDescent="0.2">
      <c r="A23" s="22">
        <v>2452020889</v>
      </c>
      <c r="B23" s="21" t="s">
        <v>25</v>
      </c>
      <c r="C23">
        <f t="shared" si="0"/>
        <v>94</v>
      </c>
      <c r="D23" t="s">
        <v>4</v>
      </c>
      <c r="E23" t="s">
        <v>4</v>
      </c>
    </row>
    <row r="24" spans="1:35" x14ac:dyDescent="0.2">
      <c r="A24" s="22">
        <v>2452020899</v>
      </c>
      <c r="B24" s="21" t="s">
        <v>26</v>
      </c>
      <c r="C24">
        <f t="shared" si="0"/>
        <v>100</v>
      </c>
      <c r="D24" t="s">
        <v>6</v>
      </c>
      <c r="E24" t="s">
        <v>6</v>
      </c>
    </row>
    <row r="25" spans="1:35" x14ac:dyDescent="0.2">
      <c r="A25" s="22">
        <v>2452020906</v>
      </c>
      <c r="B25" s="21" t="s">
        <v>27</v>
      </c>
      <c r="C25">
        <f t="shared" si="0"/>
        <v>94</v>
      </c>
      <c r="D25" t="s">
        <v>4</v>
      </c>
      <c r="E25" t="s">
        <v>4</v>
      </c>
    </row>
    <row r="26" spans="1:35" x14ac:dyDescent="0.2">
      <c r="A26" s="22">
        <v>2452020909</v>
      </c>
      <c r="B26" s="21" t="s">
        <v>28</v>
      </c>
      <c r="C26">
        <f t="shared" si="0"/>
        <v>100</v>
      </c>
      <c r="D26" t="s">
        <v>6</v>
      </c>
      <c r="E26" t="s">
        <v>6</v>
      </c>
    </row>
    <row r="27" spans="1:35" s="19" customFormat="1" x14ac:dyDescent="0.2">
      <c r="A27" s="22">
        <v>2452020910</v>
      </c>
      <c r="B27" s="21" t="s">
        <v>29</v>
      </c>
      <c r="C27">
        <f t="shared" si="0"/>
        <v>100</v>
      </c>
      <c r="D27" t="s">
        <v>6</v>
      </c>
      <c r="E27" t="s">
        <v>6</v>
      </c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x14ac:dyDescent="0.2">
      <c r="A28" s="20">
        <v>2452020911</v>
      </c>
      <c r="B28" s="21" t="s">
        <v>30</v>
      </c>
      <c r="C28">
        <f t="shared" si="0"/>
        <v>100</v>
      </c>
      <c r="D28" t="s">
        <v>6</v>
      </c>
      <c r="E28" t="s">
        <v>6</v>
      </c>
    </row>
    <row r="29" spans="1:35" x14ac:dyDescent="0.2">
      <c r="A29" s="20">
        <v>2452020917</v>
      </c>
      <c r="B29" s="21" t="s">
        <v>31</v>
      </c>
      <c r="C29">
        <f t="shared" si="0"/>
        <v>97</v>
      </c>
      <c r="D29" t="s">
        <v>4</v>
      </c>
      <c r="E29" t="s">
        <v>6</v>
      </c>
    </row>
    <row r="30" spans="1:35" x14ac:dyDescent="0.2">
      <c r="A30" s="22">
        <v>2452020919</v>
      </c>
      <c r="B30" s="21" t="s">
        <v>32</v>
      </c>
      <c r="C30">
        <f t="shared" si="0"/>
        <v>94</v>
      </c>
      <c r="D30" t="s">
        <v>4</v>
      </c>
      <c r="E30" t="s">
        <v>4</v>
      </c>
    </row>
    <row r="31" spans="1:35" x14ac:dyDescent="0.2">
      <c r="A31" s="22">
        <v>2452020920</v>
      </c>
      <c r="B31" s="21" t="s">
        <v>33</v>
      </c>
      <c r="C31">
        <f t="shared" si="0"/>
        <v>94</v>
      </c>
      <c r="D31" t="s">
        <v>4</v>
      </c>
      <c r="E31" t="s">
        <v>4</v>
      </c>
    </row>
    <row r="32" spans="1:35" x14ac:dyDescent="0.2">
      <c r="A32" s="22">
        <v>2452020922</v>
      </c>
      <c r="B32" s="21" t="s">
        <v>34</v>
      </c>
      <c r="C32">
        <f t="shared" si="0"/>
        <v>94</v>
      </c>
      <c r="D32" t="s">
        <v>4</v>
      </c>
      <c r="E32" t="s">
        <v>4</v>
      </c>
    </row>
    <row r="33" spans="1:5" x14ac:dyDescent="0.2">
      <c r="A33" s="22">
        <v>2452020924</v>
      </c>
      <c r="B33" s="21" t="s">
        <v>35</v>
      </c>
      <c r="C33">
        <f t="shared" si="0"/>
        <v>97</v>
      </c>
      <c r="D33" t="s">
        <v>6</v>
      </c>
      <c r="E33" t="s">
        <v>4</v>
      </c>
    </row>
    <row r="34" spans="1:5" x14ac:dyDescent="0.2">
      <c r="A34" s="22">
        <v>2452020927</v>
      </c>
      <c r="B34" s="21" t="s">
        <v>36</v>
      </c>
      <c r="C34">
        <f t="shared" si="0"/>
        <v>94</v>
      </c>
      <c r="D34" t="s">
        <v>4</v>
      </c>
      <c r="E34" t="s">
        <v>4</v>
      </c>
    </row>
    <row r="35" spans="1:5" x14ac:dyDescent="0.2">
      <c r="A35" s="22">
        <v>2452020928</v>
      </c>
      <c r="B35" s="21" t="s">
        <v>37</v>
      </c>
      <c r="C35">
        <f t="shared" si="0"/>
        <v>100</v>
      </c>
      <c r="D35" t="s">
        <v>6</v>
      </c>
      <c r="E35" t="s">
        <v>6</v>
      </c>
    </row>
    <row r="36" spans="1:5" x14ac:dyDescent="0.2">
      <c r="A36" s="22">
        <v>2452020931</v>
      </c>
      <c r="B36" s="21" t="s">
        <v>38</v>
      </c>
      <c r="C36">
        <f t="shared" si="0"/>
        <v>100</v>
      </c>
      <c r="D36" t="s">
        <v>6</v>
      </c>
      <c r="E36" t="s">
        <v>6</v>
      </c>
    </row>
    <row r="37" spans="1:5" x14ac:dyDescent="0.2">
      <c r="A37" s="22">
        <v>2452020932</v>
      </c>
      <c r="B37" s="21" t="s">
        <v>39</v>
      </c>
      <c r="C37">
        <f t="shared" si="0"/>
        <v>100</v>
      </c>
      <c r="D37" t="s">
        <v>6</v>
      </c>
      <c r="E37" t="s">
        <v>6</v>
      </c>
    </row>
    <row r="38" spans="1:5" x14ac:dyDescent="0.2">
      <c r="A38" s="22">
        <v>2452020934</v>
      </c>
      <c r="B38" s="21" t="s">
        <v>40</v>
      </c>
      <c r="C38">
        <f t="shared" si="0"/>
        <v>97</v>
      </c>
      <c r="D38" t="s">
        <v>6</v>
      </c>
      <c r="E38" t="s">
        <v>4</v>
      </c>
    </row>
    <row r="39" spans="1:5" x14ac:dyDescent="0.2">
      <c r="A39" s="22">
        <v>2452020935</v>
      </c>
      <c r="B39" s="21" t="s">
        <v>41</v>
      </c>
      <c r="C39">
        <f t="shared" si="0"/>
        <v>100</v>
      </c>
      <c r="D39" t="s">
        <v>6</v>
      </c>
      <c r="E39" t="s">
        <v>6</v>
      </c>
    </row>
    <row r="40" spans="1:5" x14ac:dyDescent="0.2">
      <c r="A40" s="22">
        <v>2452020937</v>
      </c>
      <c r="B40" s="21" t="s">
        <v>42</v>
      </c>
      <c r="C40">
        <f t="shared" si="0"/>
        <v>100</v>
      </c>
      <c r="D40" t="s">
        <v>6</v>
      </c>
      <c r="E40" t="s">
        <v>6</v>
      </c>
    </row>
    <row r="41" spans="1:5" x14ac:dyDescent="0.2">
      <c r="A41" s="22">
        <v>2452020939</v>
      </c>
      <c r="B41" s="21" t="s">
        <v>43</v>
      </c>
      <c r="C41">
        <f t="shared" si="0"/>
        <v>94</v>
      </c>
      <c r="D41" t="s">
        <v>4</v>
      </c>
      <c r="E41" t="s">
        <v>4</v>
      </c>
    </row>
    <row r="42" spans="1:5" x14ac:dyDescent="0.2">
      <c r="A42" s="20">
        <v>2452020940</v>
      </c>
      <c r="B42" s="21" t="s">
        <v>44</v>
      </c>
      <c r="C42">
        <f t="shared" si="0"/>
        <v>100</v>
      </c>
      <c r="D42" t="s">
        <v>6</v>
      </c>
      <c r="E42" t="s">
        <v>6</v>
      </c>
    </row>
    <row r="43" spans="1:5" x14ac:dyDescent="0.2">
      <c r="A43" s="22">
        <v>2452020941</v>
      </c>
      <c r="B43" s="21" t="s">
        <v>45</v>
      </c>
      <c r="C43">
        <f t="shared" si="0"/>
        <v>100</v>
      </c>
      <c r="D43" t="s">
        <v>6</v>
      </c>
      <c r="E43" t="s">
        <v>6</v>
      </c>
    </row>
    <row r="44" spans="1:5" x14ac:dyDescent="0.2">
      <c r="A44" s="22">
        <v>2452020942</v>
      </c>
      <c r="B44" s="21" t="s">
        <v>46</v>
      </c>
      <c r="C44">
        <f t="shared" si="0"/>
        <v>94</v>
      </c>
      <c r="D44" t="s">
        <v>4</v>
      </c>
      <c r="E44" t="s">
        <v>4</v>
      </c>
    </row>
    <row r="45" spans="1:5" x14ac:dyDescent="0.2">
      <c r="A45" s="22">
        <v>2452020945</v>
      </c>
      <c r="B45" s="21" t="s">
        <v>47</v>
      </c>
      <c r="C45">
        <f t="shared" si="0"/>
        <v>100</v>
      </c>
      <c r="D45" t="s">
        <v>6</v>
      </c>
      <c r="E45" t="s">
        <v>6</v>
      </c>
    </row>
    <row r="46" spans="1:5" x14ac:dyDescent="0.2">
      <c r="A46" s="22">
        <v>2452020949</v>
      </c>
      <c r="B46" s="21" t="s">
        <v>48</v>
      </c>
      <c r="C46">
        <f>110-COUNTIF(D46:AZ46,"×")*3</f>
        <v>110</v>
      </c>
      <c r="D46" t="s">
        <v>6</v>
      </c>
      <c r="E46" t="s">
        <v>6</v>
      </c>
    </row>
    <row r="47" spans="1:5" x14ac:dyDescent="0.2">
      <c r="A47" s="22">
        <v>2452020950</v>
      </c>
      <c r="B47" s="21" t="s">
        <v>49</v>
      </c>
      <c r="C47">
        <f t="shared" si="0"/>
        <v>100</v>
      </c>
      <c r="D47" t="s">
        <v>6</v>
      </c>
      <c r="E47" t="s">
        <v>6</v>
      </c>
    </row>
    <row r="48" spans="1:5" x14ac:dyDescent="0.2">
      <c r="A48" s="22">
        <v>2452020953</v>
      </c>
      <c r="B48" s="21" t="s">
        <v>50</v>
      </c>
      <c r="C48">
        <f t="shared" si="0"/>
        <v>94</v>
      </c>
      <c r="D48" t="s">
        <v>4</v>
      </c>
      <c r="E48" t="s">
        <v>4</v>
      </c>
    </row>
    <row r="49" spans="1:5" x14ac:dyDescent="0.2">
      <c r="A49" s="22">
        <v>2452020955</v>
      </c>
      <c r="B49" s="21" t="s">
        <v>51</v>
      </c>
      <c r="C49">
        <f t="shared" si="0"/>
        <v>100</v>
      </c>
      <c r="D49" t="s">
        <v>6</v>
      </c>
      <c r="E49" t="s">
        <v>6</v>
      </c>
    </row>
    <row r="50" spans="1:5" x14ac:dyDescent="0.2">
      <c r="A50" s="22">
        <v>2452020958</v>
      </c>
      <c r="B50" s="21" t="s">
        <v>52</v>
      </c>
      <c r="C50">
        <f t="shared" si="0"/>
        <v>94</v>
      </c>
      <c r="D50" t="s">
        <v>4</v>
      </c>
      <c r="E50" t="s">
        <v>4</v>
      </c>
    </row>
    <row r="51" spans="1:5" x14ac:dyDescent="0.2">
      <c r="A51" s="22">
        <v>2452020963</v>
      </c>
      <c r="B51" s="21" t="s">
        <v>53</v>
      </c>
      <c r="C51">
        <f t="shared" si="0"/>
        <v>94</v>
      </c>
      <c r="D51" t="s">
        <v>4</v>
      </c>
      <c r="E51" t="s">
        <v>4</v>
      </c>
    </row>
    <row r="52" spans="1:5" x14ac:dyDescent="0.2">
      <c r="A52" s="22">
        <v>2452020966</v>
      </c>
      <c r="B52" s="21" t="s">
        <v>54</v>
      </c>
      <c r="C52">
        <f t="shared" si="0"/>
        <v>94</v>
      </c>
      <c r="D52" t="s">
        <v>4</v>
      </c>
      <c r="E52" t="s">
        <v>4</v>
      </c>
    </row>
    <row r="53" spans="1:5" x14ac:dyDescent="0.2">
      <c r="A53" s="23">
        <v>2452020968</v>
      </c>
      <c r="B53" s="24" t="s">
        <v>55</v>
      </c>
      <c r="C53">
        <f t="shared" si="0"/>
        <v>94</v>
      </c>
      <c r="D53" t="s">
        <v>4</v>
      </c>
      <c r="E53" t="s">
        <v>4</v>
      </c>
    </row>
    <row r="54" spans="1:5" x14ac:dyDescent="0.2">
      <c r="A54" s="22">
        <v>2452020970</v>
      </c>
      <c r="B54" s="21" t="s">
        <v>56</v>
      </c>
      <c r="C54">
        <f t="shared" si="0"/>
        <v>94</v>
      </c>
      <c r="D54" t="s">
        <v>4</v>
      </c>
      <c r="E54" t="s">
        <v>4</v>
      </c>
    </row>
    <row r="55" spans="1:5" x14ac:dyDescent="0.2">
      <c r="A55" s="20">
        <v>2452020972</v>
      </c>
      <c r="B55" s="21" t="s">
        <v>57</v>
      </c>
      <c r="C55">
        <f t="shared" si="0"/>
        <v>94</v>
      </c>
      <c r="D55" t="s">
        <v>4</v>
      </c>
      <c r="E55" t="s">
        <v>4</v>
      </c>
    </row>
    <row r="56" spans="1:5" x14ac:dyDescent="0.2">
      <c r="A56" s="22">
        <v>2452020974</v>
      </c>
      <c r="B56" s="21" t="s">
        <v>58</v>
      </c>
      <c r="C56">
        <f t="shared" si="0"/>
        <v>100</v>
      </c>
      <c r="D56" t="s">
        <v>6</v>
      </c>
      <c r="E56" t="s">
        <v>6</v>
      </c>
    </row>
    <row r="57" spans="1:5" x14ac:dyDescent="0.2">
      <c r="A57" s="22">
        <v>2452020977</v>
      </c>
      <c r="B57" s="21" t="s">
        <v>59</v>
      </c>
      <c r="C57">
        <f t="shared" si="0"/>
        <v>94</v>
      </c>
      <c r="D57" t="s">
        <v>4</v>
      </c>
      <c r="E57" t="s">
        <v>4</v>
      </c>
    </row>
    <row r="58" spans="1:5" x14ac:dyDescent="0.2">
      <c r="A58" s="22">
        <v>2452020981</v>
      </c>
      <c r="B58" s="21" t="s">
        <v>60</v>
      </c>
      <c r="C58">
        <f t="shared" si="0"/>
        <v>100</v>
      </c>
      <c r="D58" t="s">
        <v>6</v>
      </c>
      <c r="E58" t="s">
        <v>6</v>
      </c>
    </row>
    <row r="59" spans="1:5" x14ac:dyDescent="0.2">
      <c r="A59" s="22">
        <v>2452020983</v>
      </c>
      <c r="B59" s="21" t="s">
        <v>61</v>
      </c>
      <c r="C59">
        <f t="shared" si="0"/>
        <v>100</v>
      </c>
      <c r="D59" t="s">
        <v>6</v>
      </c>
      <c r="E59" t="s">
        <v>6</v>
      </c>
    </row>
    <row r="60" spans="1:5" x14ac:dyDescent="0.2">
      <c r="A60" s="22">
        <v>2452021017</v>
      </c>
      <c r="B60" s="21" t="s">
        <v>62</v>
      </c>
      <c r="C60">
        <f t="shared" si="0"/>
        <v>100</v>
      </c>
      <c r="D60" t="s">
        <v>6</v>
      </c>
      <c r="E60" t="s">
        <v>6</v>
      </c>
    </row>
    <row r="61" spans="1:5" x14ac:dyDescent="0.2">
      <c r="A61" s="22">
        <v>2452021026</v>
      </c>
      <c r="B61" s="21" t="s">
        <v>63</v>
      </c>
      <c r="C61">
        <f t="shared" si="0"/>
        <v>100</v>
      </c>
      <c r="D61" t="s">
        <v>6</v>
      </c>
      <c r="E61" t="s">
        <v>6</v>
      </c>
    </row>
    <row r="62" spans="1:5" x14ac:dyDescent="0.2">
      <c r="A62" s="22">
        <v>2452021389</v>
      </c>
      <c r="B62" s="21" t="s">
        <v>64</v>
      </c>
      <c r="C62">
        <f t="shared" si="0"/>
        <v>94</v>
      </c>
      <c r="D62" t="s">
        <v>4</v>
      </c>
      <c r="E62" t="s">
        <v>4</v>
      </c>
    </row>
    <row r="63" spans="1:5" x14ac:dyDescent="0.2">
      <c r="A63" s="22">
        <v>2452021400</v>
      </c>
      <c r="B63" s="21" t="s">
        <v>65</v>
      </c>
      <c r="C63">
        <f t="shared" si="0"/>
        <v>94</v>
      </c>
      <c r="D63" t="s">
        <v>4</v>
      </c>
      <c r="E63" t="s">
        <v>4</v>
      </c>
    </row>
    <row r="64" spans="1:5" x14ac:dyDescent="0.2">
      <c r="A64" s="10"/>
      <c r="B64" s="10"/>
    </row>
    <row r="65" spans="4:65" ht="78" customHeight="1" x14ac:dyDescent="0.2">
      <c r="D65">
        <f>COUNTIF(D3:D49,"×")</f>
        <v>17</v>
      </c>
      <c r="E65">
        <f t="shared" ref="E65:BM65" si="1">COUNTIF(E3:E49,"×")</f>
        <v>23</v>
      </c>
      <c r="F65">
        <f t="shared" si="1"/>
        <v>0</v>
      </c>
      <c r="G65">
        <f t="shared" si="1"/>
        <v>0</v>
      </c>
      <c r="H65">
        <f t="shared" si="1"/>
        <v>0</v>
      </c>
      <c r="I65">
        <f t="shared" si="1"/>
        <v>0</v>
      </c>
      <c r="J65">
        <f t="shared" si="1"/>
        <v>0</v>
      </c>
      <c r="K65">
        <f t="shared" si="1"/>
        <v>0</v>
      </c>
      <c r="L65">
        <f t="shared" si="1"/>
        <v>0</v>
      </c>
      <c r="M65">
        <f t="shared" si="1"/>
        <v>0</v>
      </c>
      <c r="N65">
        <f t="shared" si="1"/>
        <v>0</v>
      </c>
      <c r="O65">
        <f t="shared" si="1"/>
        <v>0</v>
      </c>
      <c r="P65">
        <f t="shared" si="1"/>
        <v>0</v>
      </c>
      <c r="Q65">
        <f t="shared" si="1"/>
        <v>0</v>
      </c>
      <c r="R65">
        <f t="shared" si="1"/>
        <v>0</v>
      </c>
      <c r="S65">
        <f t="shared" si="1"/>
        <v>0</v>
      </c>
      <c r="T65">
        <f t="shared" si="1"/>
        <v>0</v>
      </c>
      <c r="U65">
        <f t="shared" si="1"/>
        <v>0</v>
      </c>
      <c r="V65">
        <f t="shared" si="1"/>
        <v>0</v>
      </c>
      <c r="W65">
        <f t="shared" si="1"/>
        <v>0</v>
      </c>
      <c r="X65">
        <f t="shared" si="1"/>
        <v>0</v>
      </c>
      <c r="Y65">
        <f t="shared" si="1"/>
        <v>0</v>
      </c>
      <c r="Z65">
        <f t="shared" si="1"/>
        <v>0</v>
      </c>
      <c r="AA65">
        <f t="shared" si="1"/>
        <v>0</v>
      </c>
      <c r="AB65">
        <f t="shared" si="1"/>
        <v>0</v>
      </c>
      <c r="AC65">
        <f t="shared" si="1"/>
        <v>0</v>
      </c>
      <c r="AD65">
        <f t="shared" si="1"/>
        <v>0</v>
      </c>
      <c r="AE65">
        <f t="shared" si="1"/>
        <v>0</v>
      </c>
      <c r="AF65">
        <f t="shared" si="1"/>
        <v>0</v>
      </c>
      <c r="AG65">
        <f t="shared" si="1"/>
        <v>0</v>
      </c>
      <c r="AH65">
        <f t="shared" si="1"/>
        <v>0</v>
      </c>
      <c r="AI65">
        <f t="shared" si="1"/>
        <v>0</v>
      </c>
      <c r="AJ65">
        <f t="shared" si="1"/>
        <v>0</v>
      </c>
      <c r="AK65">
        <f t="shared" si="1"/>
        <v>0</v>
      </c>
      <c r="AL65">
        <f t="shared" si="1"/>
        <v>0</v>
      </c>
      <c r="AM65">
        <f t="shared" si="1"/>
        <v>0</v>
      </c>
      <c r="AN65">
        <f t="shared" si="1"/>
        <v>0</v>
      </c>
      <c r="AO65">
        <f t="shared" si="1"/>
        <v>0</v>
      </c>
      <c r="AP65">
        <f t="shared" si="1"/>
        <v>0</v>
      </c>
      <c r="AQ65">
        <f t="shared" si="1"/>
        <v>0</v>
      </c>
      <c r="AR65">
        <f t="shared" si="1"/>
        <v>0</v>
      </c>
      <c r="AS65">
        <f t="shared" si="1"/>
        <v>0</v>
      </c>
      <c r="AT65">
        <f t="shared" si="1"/>
        <v>0</v>
      </c>
      <c r="AU65">
        <f t="shared" si="1"/>
        <v>0</v>
      </c>
      <c r="AV65">
        <f t="shared" si="1"/>
        <v>0</v>
      </c>
      <c r="AW65">
        <f t="shared" si="1"/>
        <v>0</v>
      </c>
      <c r="AX65">
        <f t="shared" si="1"/>
        <v>0</v>
      </c>
      <c r="AY65">
        <f t="shared" si="1"/>
        <v>0</v>
      </c>
      <c r="AZ65">
        <f t="shared" si="1"/>
        <v>0</v>
      </c>
      <c r="BA65">
        <f t="shared" si="1"/>
        <v>0</v>
      </c>
      <c r="BB65">
        <f t="shared" si="1"/>
        <v>0</v>
      </c>
      <c r="BC65">
        <f t="shared" si="1"/>
        <v>0</v>
      </c>
      <c r="BD65">
        <f t="shared" si="1"/>
        <v>0</v>
      </c>
      <c r="BE65">
        <f t="shared" si="1"/>
        <v>0</v>
      </c>
      <c r="BF65">
        <f t="shared" si="1"/>
        <v>0</v>
      </c>
      <c r="BG65">
        <f t="shared" si="1"/>
        <v>0</v>
      </c>
      <c r="BH65">
        <f t="shared" si="1"/>
        <v>0</v>
      </c>
      <c r="BI65">
        <f t="shared" si="1"/>
        <v>0</v>
      </c>
      <c r="BJ65">
        <f t="shared" si="1"/>
        <v>0</v>
      </c>
      <c r="BK65">
        <f t="shared" si="1"/>
        <v>0</v>
      </c>
      <c r="BL65">
        <f t="shared" si="1"/>
        <v>0</v>
      </c>
      <c r="BM65">
        <f t="shared" si="1"/>
        <v>0</v>
      </c>
    </row>
    <row r="67" spans="4:65" ht="30" x14ac:dyDescent="0.4">
      <c r="H67" s="27" t="s">
        <v>66</v>
      </c>
      <c r="I67" s="28"/>
      <c r="J67" s="28"/>
      <c r="K67" s="28"/>
      <c r="L67" s="28"/>
      <c r="M67" s="28"/>
      <c r="N67" s="28"/>
      <c r="O67" s="28"/>
    </row>
  </sheetData>
  <mergeCells count="4">
    <mergeCell ref="H67:O67"/>
    <mergeCell ref="A1:A2"/>
    <mergeCell ref="B1:B2"/>
    <mergeCell ref="C1:C2"/>
  </mergeCells>
  <phoneticPr fontId="14" type="noConversion"/>
  <conditionalFormatting sqref="C64:C1048576 C1:C2">
    <cfRule type="colorScale" priority="7">
      <colorScale>
        <cfvo type="percentile" val="20"/>
        <cfvo type="percent" val="10"/>
        <color rgb="FFFF7128"/>
        <color theme="9"/>
      </colorScale>
    </cfRule>
  </conditionalFormatting>
  <conditionalFormatting sqref="C3:C63 B52">
    <cfRule type="colorScale" priority="1">
      <colorScale>
        <cfvo type="percentile" val="20"/>
        <cfvo type="percent" val="10"/>
        <color rgb="FFFF7128"/>
        <color theme="9"/>
      </colorScale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4.25" x14ac:dyDescent="0.2"/>
  <sheetData/>
  <phoneticPr fontId="1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"/>
  <sheetViews>
    <sheetView topLeftCell="A15" workbookViewId="0">
      <selection activeCell="E49" sqref="C1:E49"/>
    </sheetView>
  </sheetViews>
  <sheetFormatPr defaultColWidth="9" defaultRowHeight="14.25" x14ac:dyDescent="0.2"/>
  <cols>
    <col min="3" max="3" width="15.625" customWidth="1"/>
    <col min="4" max="5" width="11.125" customWidth="1"/>
  </cols>
  <sheetData>
    <row r="1" spans="1:5" x14ac:dyDescent="0.2">
      <c r="A1" s="29" t="s">
        <v>1</v>
      </c>
      <c r="B1" s="14"/>
    </row>
    <row r="2" spans="1:5" x14ac:dyDescent="0.2">
      <c r="A2" s="30"/>
      <c r="B2" s="15" t="s">
        <v>2</v>
      </c>
      <c r="C2" s="16"/>
      <c r="D2" s="16"/>
      <c r="E2" s="16"/>
    </row>
    <row r="3" spans="1:5" ht="23.25" x14ac:dyDescent="0.35">
      <c r="A3" s="10" t="s">
        <v>67</v>
      </c>
      <c r="B3" s="17">
        <f>100-COUNTIF(C3:AZ3,"△")*30</f>
        <v>100</v>
      </c>
      <c r="C3" s="18"/>
      <c r="D3" s="18"/>
    </row>
    <row r="4" spans="1:5" ht="23.25" x14ac:dyDescent="0.35">
      <c r="A4" s="9" t="s">
        <v>68</v>
      </c>
      <c r="B4" s="17">
        <f t="shared" ref="B4:B49" si="0">100-COUNTIF(C4:AZ4,"△")*30</f>
        <v>100</v>
      </c>
      <c r="C4" s="18"/>
      <c r="D4" s="18"/>
    </row>
    <row r="5" spans="1:5" ht="23.25" x14ac:dyDescent="0.35">
      <c r="A5" s="10" t="s">
        <v>69</v>
      </c>
      <c r="B5" s="17">
        <f t="shared" si="0"/>
        <v>100</v>
      </c>
      <c r="C5" s="18"/>
      <c r="D5" s="18"/>
      <c r="E5" s="18"/>
    </row>
    <row r="6" spans="1:5" ht="23.25" x14ac:dyDescent="0.35">
      <c r="A6" s="9" t="s">
        <v>70</v>
      </c>
      <c r="B6" s="17">
        <f t="shared" si="0"/>
        <v>100</v>
      </c>
      <c r="C6" s="18"/>
      <c r="D6" s="18"/>
    </row>
    <row r="7" spans="1:5" x14ac:dyDescent="0.2">
      <c r="A7" s="10" t="s">
        <v>71</v>
      </c>
      <c r="B7" s="17">
        <f t="shared" si="0"/>
        <v>100</v>
      </c>
    </row>
    <row r="8" spans="1:5" x14ac:dyDescent="0.2">
      <c r="A8" s="9" t="s">
        <v>72</v>
      </c>
      <c r="B8" s="17">
        <f t="shared" si="0"/>
        <v>100</v>
      </c>
    </row>
    <row r="9" spans="1:5" ht="23.25" x14ac:dyDescent="0.35">
      <c r="A9" s="10" t="s">
        <v>73</v>
      </c>
      <c r="B9" s="17">
        <f t="shared" si="0"/>
        <v>100</v>
      </c>
      <c r="D9" s="18"/>
    </row>
    <row r="10" spans="1:5" ht="23.25" x14ac:dyDescent="0.35">
      <c r="A10" s="9" t="s">
        <v>74</v>
      </c>
      <c r="B10" s="17">
        <f t="shared" si="0"/>
        <v>100</v>
      </c>
      <c r="C10" s="18"/>
      <c r="D10" s="18"/>
    </row>
    <row r="11" spans="1:5" ht="23.25" x14ac:dyDescent="0.35">
      <c r="A11" s="12" t="s">
        <v>75</v>
      </c>
      <c r="B11" s="17">
        <f t="shared" si="0"/>
        <v>100</v>
      </c>
      <c r="C11" s="18"/>
      <c r="D11" s="18"/>
      <c r="E11" s="18"/>
    </row>
    <row r="12" spans="1:5" ht="23.25" x14ac:dyDescent="0.35">
      <c r="A12" s="9" t="s">
        <v>76</v>
      </c>
      <c r="B12" s="17">
        <f t="shared" si="0"/>
        <v>100</v>
      </c>
      <c r="D12" s="18"/>
    </row>
    <row r="13" spans="1:5" ht="23.25" x14ac:dyDescent="0.35">
      <c r="A13" s="10" t="s">
        <v>77</v>
      </c>
      <c r="B13" s="17">
        <f t="shared" si="0"/>
        <v>100</v>
      </c>
      <c r="D13" s="18"/>
    </row>
    <row r="14" spans="1:5" ht="23.25" x14ac:dyDescent="0.35">
      <c r="A14" s="9" t="s">
        <v>78</v>
      </c>
      <c r="B14" s="17">
        <f t="shared" si="0"/>
        <v>100</v>
      </c>
      <c r="D14" s="18"/>
    </row>
    <row r="15" spans="1:5" ht="23.25" x14ac:dyDescent="0.35">
      <c r="A15" s="10" t="s">
        <v>79</v>
      </c>
      <c r="B15" s="17">
        <f t="shared" si="0"/>
        <v>100</v>
      </c>
      <c r="D15" s="18"/>
    </row>
    <row r="16" spans="1:5" ht="23.25" x14ac:dyDescent="0.35">
      <c r="A16" s="9" t="s">
        <v>80</v>
      </c>
      <c r="B16" s="17">
        <f t="shared" si="0"/>
        <v>100</v>
      </c>
      <c r="C16" s="18"/>
      <c r="D16" s="18"/>
      <c r="E16" s="18"/>
    </row>
    <row r="17" spans="1:5" ht="23.25" x14ac:dyDescent="0.35">
      <c r="A17" s="10" t="s">
        <v>81</v>
      </c>
      <c r="B17" s="17">
        <f t="shared" si="0"/>
        <v>100</v>
      </c>
      <c r="D17" s="18"/>
    </row>
    <row r="18" spans="1:5" ht="23.25" x14ac:dyDescent="0.35">
      <c r="A18" s="9" t="s">
        <v>82</v>
      </c>
      <c r="B18" s="17">
        <f t="shared" si="0"/>
        <v>100</v>
      </c>
      <c r="D18" s="18"/>
    </row>
    <row r="19" spans="1:5" ht="23.25" x14ac:dyDescent="0.35">
      <c r="A19" s="10" t="s">
        <v>83</v>
      </c>
      <c r="B19" s="17">
        <f t="shared" si="0"/>
        <v>100</v>
      </c>
      <c r="C19" s="18"/>
      <c r="D19" s="18"/>
      <c r="E19" s="18"/>
    </row>
    <row r="20" spans="1:5" ht="23.25" x14ac:dyDescent="0.35">
      <c r="A20" s="9" t="s">
        <v>84</v>
      </c>
      <c r="B20" s="17">
        <f t="shared" si="0"/>
        <v>100</v>
      </c>
      <c r="D20" s="18"/>
    </row>
    <row r="21" spans="1:5" ht="23.25" x14ac:dyDescent="0.35">
      <c r="A21" s="10" t="s">
        <v>85</v>
      </c>
      <c r="B21" s="17">
        <f t="shared" si="0"/>
        <v>100</v>
      </c>
      <c r="D21" s="18"/>
    </row>
    <row r="22" spans="1:5" x14ac:dyDescent="0.2">
      <c r="A22" s="9" t="s">
        <v>86</v>
      </c>
      <c r="B22" s="17">
        <f t="shared" si="0"/>
        <v>100</v>
      </c>
    </row>
    <row r="23" spans="1:5" x14ac:dyDescent="0.2">
      <c r="A23" s="10" t="s">
        <v>87</v>
      </c>
      <c r="B23" s="17">
        <f t="shared" si="0"/>
        <v>100</v>
      </c>
    </row>
    <row r="24" spans="1:5" ht="23.25" x14ac:dyDescent="0.35">
      <c r="A24" s="9" t="s">
        <v>88</v>
      </c>
      <c r="B24" s="17">
        <f t="shared" si="0"/>
        <v>100</v>
      </c>
      <c r="C24" s="18"/>
      <c r="D24" s="18"/>
      <c r="E24" s="18"/>
    </row>
    <row r="25" spans="1:5" ht="23.25" x14ac:dyDescent="0.35">
      <c r="A25" s="10" t="s">
        <v>89</v>
      </c>
      <c r="B25" s="17">
        <f t="shared" si="0"/>
        <v>100</v>
      </c>
      <c r="C25" s="18"/>
      <c r="D25" s="18"/>
      <c r="E25" s="18"/>
    </row>
    <row r="26" spans="1:5" ht="23.25" x14ac:dyDescent="0.35">
      <c r="A26" s="9" t="s">
        <v>90</v>
      </c>
      <c r="B26" s="17">
        <f t="shared" si="0"/>
        <v>100</v>
      </c>
      <c r="C26" s="18"/>
      <c r="D26" s="18"/>
      <c r="E26" s="18"/>
    </row>
    <row r="27" spans="1:5" ht="23.25" x14ac:dyDescent="0.35">
      <c r="A27" s="13" t="s">
        <v>91</v>
      </c>
      <c r="B27" s="17">
        <f t="shared" si="0"/>
        <v>100</v>
      </c>
      <c r="C27" s="18"/>
      <c r="D27" s="18"/>
      <c r="E27" s="18"/>
    </row>
    <row r="28" spans="1:5" x14ac:dyDescent="0.2">
      <c r="A28" s="9" t="s">
        <v>92</v>
      </c>
      <c r="B28" s="17">
        <f t="shared" si="0"/>
        <v>100</v>
      </c>
    </row>
    <row r="29" spans="1:5" x14ac:dyDescent="0.2">
      <c r="A29" s="10" t="s">
        <v>93</v>
      </c>
      <c r="B29" s="17">
        <f t="shared" si="0"/>
        <v>100</v>
      </c>
    </row>
    <row r="30" spans="1:5" ht="23.25" x14ac:dyDescent="0.35">
      <c r="A30" s="9" t="s">
        <v>94</v>
      </c>
      <c r="B30" s="17">
        <f t="shared" si="0"/>
        <v>100</v>
      </c>
      <c r="C30" s="18"/>
      <c r="D30" s="18"/>
      <c r="E30" s="18"/>
    </row>
    <row r="31" spans="1:5" ht="23.25" x14ac:dyDescent="0.35">
      <c r="A31" s="10" t="s">
        <v>95</v>
      </c>
      <c r="B31" s="17">
        <f t="shared" si="0"/>
        <v>100</v>
      </c>
      <c r="C31" s="18"/>
      <c r="D31" s="18"/>
      <c r="E31" s="18"/>
    </row>
    <row r="32" spans="1:5" ht="23.25" x14ac:dyDescent="0.35">
      <c r="A32" s="9" t="s">
        <v>96</v>
      </c>
      <c r="B32" s="17">
        <f t="shared" si="0"/>
        <v>100</v>
      </c>
      <c r="C32" s="18"/>
      <c r="D32" s="18"/>
    </row>
    <row r="33" spans="1:5" ht="23.25" x14ac:dyDescent="0.35">
      <c r="A33" s="10" t="s">
        <v>97</v>
      </c>
      <c r="B33" s="17">
        <f t="shared" si="0"/>
        <v>100</v>
      </c>
      <c r="C33" s="18"/>
    </row>
    <row r="34" spans="1:5" ht="23.25" x14ac:dyDescent="0.35">
      <c r="A34" s="9" t="s">
        <v>98</v>
      </c>
      <c r="B34" s="17">
        <f t="shared" si="0"/>
        <v>100</v>
      </c>
      <c r="C34" s="18"/>
      <c r="D34" s="18"/>
      <c r="E34" s="18"/>
    </row>
    <row r="35" spans="1:5" ht="23.25" x14ac:dyDescent="0.35">
      <c r="A35" s="10" t="s">
        <v>99</v>
      </c>
      <c r="B35" s="17">
        <f t="shared" si="0"/>
        <v>100</v>
      </c>
      <c r="C35" s="18"/>
      <c r="D35" s="18"/>
      <c r="E35" s="18"/>
    </row>
    <row r="36" spans="1:5" x14ac:dyDescent="0.2">
      <c r="A36" s="9" t="s">
        <v>100</v>
      </c>
      <c r="B36" s="17">
        <f t="shared" si="0"/>
        <v>100</v>
      </c>
    </row>
    <row r="37" spans="1:5" ht="23.25" x14ac:dyDescent="0.35">
      <c r="A37" s="10" t="s">
        <v>101</v>
      </c>
      <c r="B37" s="17">
        <f t="shared" si="0"/>
        <v>100</v>
      </c>
      <c r="D37" s="18"/>
      <c r="E37" s="18"/>
    </row>
    <row r="38" spans="1:5" ht="23.25" x14ac:dyDescent="0.35">
      <c r="A38" s="9" t="s">
        <v>102</v>
      </c>
      <c r="B38" s="17">
        <f t="shared" si="0"/>
        <v>100</v>
      </c>
      <c r="C38" s="18"/>
      <c r="D38" s="18"/>
      <c r="E38" s="18"/>
    </row>
    <row r="39" spans="1:5" ht="23.25" x14ac:dyDescent="0.35">
      <c r="A39" s="10" t="s">
        <v>103</v>
      </c>
      <c r="B39" s="17">
        <f t="shared" si="0"/>
        <v>100</v>
      </c>
      <c r="C39" s="18"/>
      <c r="D39" s="18"/>
      <c r="E39" s="18"/>
    </row>
    <row r="40" spans="1:5" ht="23.25" x14ac:dyDescent="0.35">
      <c r="A40" s="9" t="s">
        <v>104</v>
      </c>
      <c r="B40" s="17">
        <f t="shared" si="0"/>
        <v>100</v>
      </c>
      <c r="C40" s="18"/>
      <c r="D40" s="18"/>
      <c r="E40" s="18"/>
    </row>
    <row r="41" spans="1:5" ht="23.25" x14ac:dyDescent="0.35">
      <c r="A41" s="10" t="s">
        <v>105</v>
      </c>
      <c r="B41" s="17">
        <f t="shared" si="0"/>
        <v>100</v>
      </c>
      <c r="D41" s="18"/>
    </row>
    <row r="42" spans="1:5" ht="23.25" x14ac:dyDescent="0.35">
      <c r="A42" s="9" t="s">
        <v>106</v>
      </c>
      <c r="B42" s="17">
        <f t="shared" si="0"/>
        <v>100</v>
      </c>
      <c r="C42" s="18"/>
      <c r="D42" s="18"/>
      <c r="E42" s="18"/>
    </row>
    <row r="43" spans="1:5" x14ac:dyDescent="0.2">
      <c r="A43" s="10" t="s">
        <v>107</v>
      </c>
      <c r="B43" s="17">
        <f t="shared" si="0"/>
        <v>100</v>
      </c>
    </row>
    <row r="44" spans="1:5" ht="23.25" x14ac:dyDescent="0.35">
      <c r="A44" s="9" t="s">
        <v>108</v>
      </c>
      <c r="B44" s="17">
        <f t="shared" si="0"/>
        <v>100</v>
      </c>
      <c r="C44" s="18"/>
      <c r="D44" s="18"/>
      <c r="E44" s="18"/>
    </row>
    <row r="45" spans="1:5" ht="23.25" x14ac:dyDescent="0.35">
      <c r="A45" s="10" t="s">
        <v>109</v>
      </c>
      <c r="B45" s="17">
        <f t="shared" si="0"/>
        <v>100</v>
      </c>
      <c r="C45" s="18"/>
      <c r="D45" s="18"/>
      <c r="E45" s="18"/>
    </row>
    <row r="46" spans="1:5" ht="23.25" x14ac:dyDescent="0.35">
      <c r="A46" s="9" t="s">
        <v>110</v>
      </c>
      <c r="B46" s="17">
        <f t="shared" si="0"/>
        <v>100</v>
      </c>
      <c r="C46" s="18"/>
      <c r="D46" s="18"/>
      <c r="E46" s="18"/>
    </row>
    <row r="47" spans="1:5" ht="23.25" x14ac:dyDescent="0.35">
      <c r="A47" s="10" t="s">
        <v>111</v>
      </c>
      <c r="B47" s="17">
        <f t="shared" si="0"/>
        <v>100</v>
      </c>
      <c r="C47" s="18"/>
      <c r="D47" s="18"/>
      <c r="E47" s="18"/>
    </row>
    <row r="48" spans="1:5" x14ac:dyDescent="0.2">
      <c r="A48" s="9" t="s">
        <v>112</v>
      </c>
      <c r="B48" s="17">
        <f t="shared" si="0"/>
        <v>100</v>
      </c>
    </row>
    <row r="49" spans="1:2" x14ac:dyDescent="0.2">
      <c r="A49" s="10" t="s">
        <v>113</v>
      </c>
      <c r="B49" s="17">
        <f t="shared" si="0"/>
        <v>100</v>
      </c>
    </row>
  </sheetData>
  <mergeCells count="1">
    <mergeCell ref="A1:A2"/>
  </mergeCells>
  <phoneticPr fontId="1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1"/>
  <sheetViews>
    <sheetView workbookViewId="0">
      <selection activeCell="M12" sqref="A1:XFD1048576"/>
    </sheetView>
  </sheetViews>
  <sheetFormatPr defaultColWidth="9" defaultRowHeight="14.25" x14ac:dyDescent="0.2"/>
  <sheetData>
    <row r="1" spans="1:13" x14ac:dyDescent="0.2">
      <c r="A1" s="32"/>
      <c r="B1" s="28"/>
      <c r="C1" s="28"/>
      <c r="D1" s="28"/>
      <c r="E1" s="28"/>
    </row>
    <row r="3" spans="1:13" s="1" customFormat="1" x14ac:dyDescent="0.2">
      <c r="A3" s="2"/>
      <c r="B3" s="2"/>
      <c r="C3" s="3"/>
      <c r="D3" s="3"/>
      <c r="E3" s="3"/>
      <c r="F3" s="2"/>
      <c r="G3" s="4"/>
      <c r="H3" s="5"/>
      <c r="I3" s="10"/>
      <c r="J3" s="10"/>
      <c r="K3" s="4"/>
      <c r="L3" s="9"/>
      <c r="M3" s="9"/>
    </row>
    <row r="4" spans="1:13" x14ac:dyDescent="0.2">
      <c r="A4" s="5"/>
      <c r="B4" s="3"/>
      <c r="C4" s="3"/>
      <c r="D4" s="6"/>
      <c r="E4" s="3"/>
      <c r="F4" s="4"/>
      <c r="G4" s="7"/>
      <c r="H4" s="7"/>
      <c r="I4" s="4"/>
      <c r="J4" s="4"/>
      <c r="K4" s="4"/>
      <c r="L4" s="10"/>
      <c r="M4" s="10"/>
    </row>
    <row r="5" spans="1:13" x14ac:dyDescent="0.2">
      <c r="A5" s="7"/>
      <c r="B5" s="8"/>
      <c r="C5" s="2"/>
      <c r="D5" s="9"/>
      <c r="E5" s="3"/>
      <c r="F5" s="2"/>
      <c r="G5" s="3"/>
      <c r="H5" s="5"/>
      <c r="I5" s="9"/>
      <c r="J5" s="10"/>
      <c r="K5" s="7"/>
      <c r="L5" s="9"/>
      <c r="M5" s="9"/>
    </row>
    <row r="6" spans="1:13" x14ac:dyDescent="0.2">
      <c r="A6" s="5"/>
      <c r="B6" s="3"/>
      <c r="C6" s="4"/>
      <c r="D6" s="10"/>
      <c r="E6" s="4"/>
      <c r="F6" s="3"/>
      <c r="G6" s="2"/>
      <c r="H6" s="8"/>
      <c r="I6" s="10"/>
      <c r="J6" s="4"/>
      <c r="K6" s="4"/>
      <c r="L6" s="10"/>
      <c r="M6" s="10"/>
    </row>
    <row r="7" spans="1:13" x14ac:dyDescent="0.2">
      <c r="A7" s="8"/>
      <c r="C7" s="2"/>
      <c r="D7" s="9"/>
      <c r="E7" s="9"/>
      <c r="F7" s="2"/>
      <c r="G7" s="3"/>
      <c r="H7" s="5"/>
      <c r="I7" s="9"/>
      <c r="J7" s="10"/>
      <c r="K7" s="7"/>
      <c r="M7" s="10"/>
    </row>
    <row r="8" spans="1:13" x14ac:dyDescent="0.2">
      <c r="A8" s="3"/>
      <c r="B8" s="3"/>
      <c r="D8" s="2"/>
      <c r="E8" s="7"/>
      <c r="G8" s="2"/>
      <c r="H8" s="10"/>
      <c r="J8" s="11"/>
      <c r="K8" s="4"/>
    </row>
    <row r="9" spans="1:13" x14ac:dyDescent="0.2">
      <c r="A9" s="8"/>
      <c r="D9" s="3"/>
      <c r="E9" s="3"/>
      <c r="H9" s="11"/>
      <c r="J9" s="10"/>
      <c r="K9" s="4"/>
    </row>
    <row r="10" spans="1:13" x14ac:dyDescent="0.2">
      <c r="A10" s="3"/>
      <c r="D10" s="7"/>
      <c r="E10" s="2"/>
      <c r="H10" s="12"/>
      <c r="K10" s="4"/>
    </row>
    <row r="11" spans="1:13" x14ac:dyDescent="0.2">
      <c r="A11" s="12"/>
      <c r="D11" s="4"/>
      <c r="H11" s="9"/>
      <c r="K11" s="7"/>
    </row>
    <row r="12" spans="1:13" x14ac:dyDescent="0.2">
      <c r="A12" s="3"/>
      <c r="D12" s="13"/>
      <c r="K12" s="4"/>
    </row>
    <row r="13" spans="1:13" x14ac:dyDescent="0.2">
      <c r="A13" s="8"/>
      <c r="D13" s="3"/>
      <c r="K13" s="10"/>
    </row>
    <row r="14" spans="1:13" x14ac:dyDescent="0.2">
      <c r="D14" s="2"/>
      <c r="K14" s="4"/>
    </row>
    <row r="15" spans="1:13" x14ac:dyDescent="0.2">
      <c r="D15" s="4"/>
      <c r="K15" s="7"/>
    </row>
    <row r="16" spans="1:13" x14ac:dyDescent="0.2">
      <c r="D16" s="7"/>
      <c r="K16" s="4"/>
    </row>
    <row r="17" spans="4:11" x14ac:dyDescent="0.2">
      <c r="D17" s="3"/>
      <c r="K17" s="7"/>
    </row>
    <row r="18" spans="4:11" x14ac:dyDescent="0.2">
      <c r="D18" s="2"/>
      <c r="K18" s="4"/>
    </row>
    <row r="19" spans="4:11" x14ac:dyDescent="0.2">
      <c r="K19" s="7"/>
    </row>
    <row r="20" spans="4:11" x14ac:dyDescent="0.2">
      <c r="K20" s="4"/>
    </row>
    <row r="21" spans="4:11" x14ac:dyDescent="0.2">
      <c r="K21" s="7"/>
    </row>
    <row r="22" spans="4:11" x14ac:dyDescent="0.2">
      <c r="K22" s="4"/>
    </row>
    <row r="23" spans="4:11" x14ac:dyDescent="0.2">
      <c r="K23" s="7"/>
    </row>
    <row r="24" spans="4:11" x14ac:dyDescent="0.2">
      <c r="K24" s="9"/>
    </row>
    <row r="25" spans="4:11" x14ac:dyDescent="0.2">
      <c r="K25" s="7"/>
    </row>
    <row r="26" spans="4:11" x14ac:dyDescent="0.2">
      <c r="K26" s="4"/>
    </row>
    <row r="27" spans="4:11" x14ac:dyDescent="0.2">
      <c r="K27" s="7"/>
    </row>
    <row r="28" spans="4:11" x14ac:dyDescent="0.2">
      <c r="K28" s="4"/>
    </row>
    <row r="29" spans="4:11" x14ac:dyDescent="0.2">
      <c r="K29" s="6"/>
    </row>
    <row r="30" spans="4:11" x14ac:dyDescent="0.2">
      <c r="K30" s="7"/>
    </row>
    <row r="31" spans="4:11" x14ac:dyDescent="0.2">
      <c r="K31" s="9"/>
    </row>
  </sheetData>
  <mergeCells count="1">
    <mergeCell ref="A1:E1"/>
  </mergeCells>
  <phoneticPr fontId="1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考勤</vt:lpstr>
      <vt:lpstr>上机</vt:lpstr>
      <vt:lpstr>实验报告</vt:lpstr>
      <vt:lpstr>打扫卫生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gjs</cp:lastModifiedBy>
  <dcterms:created xsi:type="dcterms:W3CDTF">2015-06-05T18:19:00Z</dcterms:created>
  <dcterms:modified xsi:type="dcterms:W3CDTF">2026-03-07T02:42:19Z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A6CF684F5C0D4175B8EA4F1C2B122092_13</vt:lpwstr>
  </property>
  <property fmtid="{D5CDD505-2E9C-101B-9397-08002B2CF9AE}" pid="3" name="KSOProductBuildVer">
    <vt:lpwstr>2052-12.1.0.15712</vt:lpwstr>
  </property>
</Properties>
</file>